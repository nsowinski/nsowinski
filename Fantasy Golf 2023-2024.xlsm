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win\OneDrive\"/>
    </mc:Choice>
  </mc:AlternateContent>
  <xr:revisionPtr revIDLastSave="0" documentId="13_ncr:1_{08823053-999A-4E38-83CB-6A34DAB819B9}" xr6:coauthVersionLast="47" xr6:coauthVersionMax="47" xr10:uidLastSave="{00000000-0000-0000-0000-000000000000}"/>
  <bookViews>
    <workbookView xWindow="-120" yWindow="-120" windowWidth="29040" windowHeight="15720" activeTab="4" xr2:uid="{F5A93850-4539-40CF-932D-5E8FCAAE3946}"/>
  </bookViews>
  <sheets>
    <sheet name="Scoreboard" sheetId="7" r:id="rId1"/>
    <sheet name="Eliminator" sheetId="8" r:id="rId2"/>
    <sheet name="Entry" sheetId="1" r:id="rId3"/>
    <sheet name="Template" sheetId="6" r:id="rId4"/>
    <sheet name="The American Express" sheetId="65" r:id="rId5"/>
    <sheet name="The Sony Open" sheetId="64" r:id="rId6"/>
    <sheet name="The Sentry" sheetId="63" r:id="rId7"/>
    <sheet name="Hero World Challenge" sheetId="62" r:id="rId8"/>
    <sheet name="RSM  Classic" sheetId="61" r:id="rId9"/>
    <sheet name="Butterfield Bermuda" sheetId="60" r:id="rId10"/>
    <sheet name="World Wide Technology" sheetId="59" r:id="rId11"/>
    <sheet name="Zozo Championship" sheetId="57" r:id="rId12"/>
    <sheet name="Shriners Childrens Open" sheetId="56" r:id="rId13"/>
    <sheet name="Sanderson Farms Championship" sheetId="55" r:id="rId14"/>
    <sheet name="Fortinet Championship" sheetId="54" r:id="rId1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5" i="65" l="1"/>
  <c r="Z35" i="65"/>
  <c r="Y35" i="65"/>
  <c r="X35" i="65"/>
  <c r="W35" i="65"/>
  <c r="V35" i="65"/>
  <c r="U35" i="65"/>
  <c r="T35" i="65"/>
  <c r="S35" i="65"/>
  <c r="R35" i="65"/>
  <c r="Q35" i="65"/>
  <c r="P35" i="65"/>
  <c r="O35" i="65"/>
  <c r="N35" i="65"/>
  <c r="M35" i="65"/>
  <c r="L35" i="65"/>
  <c r="K35" i="65"/>
  <c r="J35" i="65"/>
  <c r="I35" i="65"/>
  <c r="H35" i="65"/>
  <c r="G35" i="65"/>
  <c r="F35" i="65"/>
  <c r="E35" i="65"/>
  <c r="D35" i="65"/>
  <c r="D59" i="65" s="1" a="1"/>
  <c r="D59" i="65" s="1"/>
  <c r="C35" i="65"/>
  <c r="AA27" i="65"/>
  <c r="Z27" i="65"/>
  <c r="Y27" i="65"/>
  <c r="X27" i="65"/>
  <c r="W27" i="65"/>
  <c r="V27" i="65"/>
  <c r="U27" i="65"/>
  <c r="T27" i="65"/>
  <c r="S27" i="65"/>
  <c r="R27" i="65"/>
  <c r="Q27" i="65"/>
  <c r="P27" i="65"/>
  <c r="O27" i="65"/>
  <c r="N27" i="65"/>
  <c r="M27" i="65"/>
  <c r="L27" i="65"/>
  <c r="K27" i="65"/>
  <c r="J27" i="65"/>
  <c r="I27" i="65"/>
  <c r="H27" i="65"/>
  <c r="G27" i="65"/>
  <c r="F27" i="65"/>
  <c r="E27" i="65"/>
  <c r="D27" i="65"/>
  <c r="C27" i="65"/>
  <c r="AA19" i="65"/>
  <c r="Z19" i="65"/>
  <c r="Y19" i="65"/>
  <c r="X19" i="65"/>
  <c r="X59" i="65" s="1" a="1"/>
  <c r="X59" i="65" s="1"/>
  <c r="W19" i="65"/>
  <c r="V19" i="65"/>
  <c r="U19" i="65"/>
  <c r="T19" i="65"/>
  <c r="S19" i="65"/>
  <c r="R19" i="65"/>
  <c r="Q19" i="65"/>
  <c r="P19" i="65"/>
  <c r="P59" i="65" s="1" a="1"/>
  <c r="P59" i="65" s="1"/>
  <c r="O19" i="65"/>
  <c r="N19" i="65"/>
  <c r="M19" i="65"/>
  <c r="L19" i="65"/>
  <c r="K19" i="65"/>
  <c r="J19" i="65"/>
  <c r="I19" i="65"/>
  <c r="H19" i="65"/>
  <c r="H59" i="65" s="1" a="1"/>
  <c r="H59" i="65" s="1"/>
  <c r="G19" i="65"/>
  <c r="F19" i="65"/>
  <c r="E19" i="65"/>
  <c r="D19" i="65"/>
  <c r="C19" i="65"/>
  <c r="AA11" i="65"/>
  <c r="Z11" i="65"/>
  <c r="Y11" i="65"/>
  <c r="Y59" i="65" s="1" a="1"/>
  <c r="Y59" i="65" s="1"/>
  <c r="X11" i="65"/>
  <c r="W11" i="65"/>
  <c r="W59" i="65" s="1" a="1"/>
  <c r="W59" i="65" s="1"/>
  <c r="V11" i="65"/>
  <c r="U11" i="65"/>
  <c r="T11" i="65"/>
  <c r="S11" i="65"/>
  <c r="R11" i="65"/>
  <c r="Q11" i="65"/>
  <c r="Q59" i="65" s="1" a="1"/>
  <c r="Q59" i="65" s="1"/>
  <c r="P11" i="65"/>
  <c r="O11" i="65"/>
  <c r="O59" i="65" s="1" a="1"/>
  <c r="O59" i="65" s="1"/>
  <c r="N11" i="65"/>
  <c r="M11" i="65"/>
  <c r="L11" i="65"/>
  <c r="K11" i="65"/>
  <c r="J11" i="65"/>
  <c r="I11" i="65"/>
  <c r="I59" i="65" s="1" a="1"/>
  <c r="I59" i="65" s="1"/>
  <c r="H11" i="65"/>
  <c r="G11" i="65"/>
  <c r="G59" i="65" s="1" a="1"/>
  <c r="G59" i="65" s="1"/>
  <c r="F11" i="65"/>
  <c r="E11" i="65"/>
  <c r="D11" i="65"/>
  <c r="C11" i="65"/>
  <c r="D19" i="64"/>
  <c r="I11" i="64"/>
  <c r="AA35" i="64"/>
  <c r="Z35" i="64"/>
  <c r="Y35" i="64"/>
  <c r="X35" i="64"/>
  <c r="W35" i="64"/>
  <c r="V35" i="64"/>
  <c r="U35" i="64"/>
  <c r="T35" i="64"/>
  <c r="S35" i="64"/>
  <c r="R35" i="64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C35" i="64"/>
  <c r="AA27" i="64"/>
  <c r="Z27" i="64"/>
  <c r="Y27" i="64"/>
  <c r="X27" i="64"/>
  <c r="W27" i="64"/>
  <c r="V27" i="64"/>
  <c r="U27" i="64"/>
  <c r="T27" i="64"/>
  <c r="S27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C27" i="64"/>
  <c r="AA19" i="64"/>
  <c r="Z19" i="64"/>
  <c r="Y19" i="64"/>
  <c r="X19" i="64"/>
  <c r="W19" i="64"/>
  <c r="V19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C19" i="64"/>
  <c r="AA11" i="64"/>
  <c r="Z11" i="64"/>
  <c r="Y11" i="64"/>
  <c r="X11" i="64"/>
  <c r="W11" i="64"/>
  <c r="V11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H11" i="64"/>
  <c r="G11" i="64"/>
  <c r="F11" i="64"/>
  <c r="E11" i="64"/>
  <c r="D11" i="64"/>
  <c r="C11" i="64"/>
  <c r="AA59" i="65" l="1" a="1"/>
  <c r="AA59" i="65" s="1"/>
  <c r="Z59" i="65" a="1"/>
  <c r="Z59" i="65" s="1"/>
  <c r="J59" i="65" a="1"/>
  <c r="J59" i="65" s="1"/>
  <c r="C59" i="65" a="1"/>
  <c r="C59" i="65" s="1"/>
  <c r="K59" i="65" a="1"/>
  <c r="K59" i="65" s="1"/>
  <c r="R59" i="65" a="1"/>
  <c r="R59" i="65" s="1"/>
  <c r="S59" i="65" a="1"/>
  <c r="S59" i="65" s="1"/>
  <c r="E59" i="65" a="1"/>
  <c r="E59" i="65" s="1"/>
  <c r="M59" i="65" a="1"/>
  <c r="M59" i="65" s="1"/>
  <c r="U59" i="65" a="1"/>
  <c r="U59" i="65" s="1"/>
  <c r="N59" i="65" a="1"/>
  <c r="N59" i="65" s="1"/>
  <c r="V59" i="65" a="1"/>
  <c r="V59" i="65" s="1"/>
  <c r="F59" i="65" a="1"/>
  <c r="F59" i="65" s="1"/>
  <c r="L59" i="65" a="1"/>
  <c r="L59" i="65" s="1"/>
  <c r="T59" i="65" a="1"/>
  <c r="T59" i="65" s="1"/>
  <c r="H59" i="64" a="1"/>
  <c r="H59" i="64" s="1"/>
  <c r="N59" i="64" a="1"/>
  <c r="N59" i="64" s="1"/>
  <c r="G59" i="64" a="1"/>
  <c r="G59" i="64" s="1"/>
  <c r="F59" i="64" a="1"/>
  <c r="F59" i="64" s="1"/>
  <c r="P59" i="64" a="1"/>
  <c r="P59" i="64" s="1"/>
  <c r="W59" i="64" a="1"/>
  <c r="W59" i="64" s="1"/>
  <c r="X59" i="64" a="1"/>
  <c r="X59" i="64" s="1"/>
  <c r="O59" i="64" a="1"/>
  <c r="O59" i="64" s="1"/>
  <c r="C59" i="64" a="1"/>
  <c r="C59" i="64" s="1"/>
  <c r="K59" i="64" a="1"/>
  <c r="K59" i="64" s="1"/>
  <c r="V59" i="64" a="1"/>
  <c r="V59" i="64" s="1"/>
  <c r="D59" i="64" a="1"/>
  <c r="D59" i="64" s="1"/>
  <c r="L59" i="64" a="1"/>
  <c r="L59" i="64" s="1"/>
  <c r="T59" i="64" a="1"/>
  <c r="T59" i="64" s="1"/>
  <c r="S59" i="64" a="1"/>
  <c r="S59" i="64" s="1"/>
  <c r="AA59" i="64" a="1"/>
  <c r="AA59" i="64" s="1"/>
  <c r="E59" i="64" a="1"/>
  <c r="E59" i="64" s="1"/>
  <c r="M59" i="64" a="1"/>
  <c r="M59" i="64" s="1"/>
  <c r="U59" i="64" a="1"/>
  <c r="U59" i="64" s="1"/>
  <c r="I59" i="64" a="1"/>
  <c r="I59" i="64" s="1"/>
  <c r="Q59" i="64" a="1"/>
  <c r="Q59" i="64" s="1"/>
  <c r="Y59" i="64" a="1"/>
  <c r="Y59" i="64" s="1"/>
  <c r="J59" i="64" a="1"/>
  <c r="J59" i="64" s="1"/>
  <c r="R59" i="64" a="1"/>
  <c r="R59" i="64" s="1"/>
  <c r="Z59" i="64" a="1"/>
  <c r="Z59" i="64" s="1"/>
  <c r="W61" i="65" l="1"/>
  <c r="H61" i="65"/>
  <c r="C61" i="65"/>
  <c r="M61" i="65"/>
  <c r="R61" i="65"/>
  <c r="C61" i="64"/>
  <c r="M61" i="64"/>
  <c r="H61" i="64"/>
  <c r="R61" i="64"/>
  <c r="W61" i="64"/>
  <c r="AA35" i="63" l="1"/>
  <c r="Z35" i="63"/>
  <c r="Y35" i="63"/>
  <c r="X35" i="63"/>
  <c r="W35" i="63"/>
  <c r="V35" i="63"/>
  <c r="U35" i="63"/>
  <c r="T35" i="63"/>
  <c r="S35" i="63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C35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AA19" i="63"/>
  <c r="Z19" i="63"/>
  <c r="Y19" i="63"/>
  <c r="X19" i="63"/>
  <c r="W19" i="63"/>
  <c r="V19" i="63"/>
  <c r="U19" i="63"/>
  <c r="T19" i="63"/>
  <c r="S19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C19" i="63"/>
  <c r="AA11" i="63"/>
  <c r="Z11" i="63"/>
  <c r="Y11" i="63"/>
  <c r="X11" i="63"/>
  <c r="W11" i="63"/>
  <c r="V11" i="63"/>
  <c r="U11" i="63"/>
  <c r="T11" i="63"/>
  <c r="S11" i="63"/>
  <c r="R11" i="63"/>
  <c r="Q11" i="63"/>
  <c r="P11" i="63"/>
  <c r="O11" i="63"/>
  <c r="N11" i="63"/>
  <c r="M11" i="63"/>
  <c r="L11" i="63"/>
  <c r="K11" i="63"/>
  <c r="J11" i="63"/>
  <c r="I11" i="63"/>
  <c r="H11" i="63"/>
  <c r="G11" i="63"/>
  <c r="F11" i="63"/>
  <c r="E11" i="63"/>
  <c r="D11" i="63"/>
  <c r="C11" i="63"/>
  <c r="AA35" i="62"/>
  <c r="Z35" i="62"/>
  <c r="Y35" i="62"/>
  <c r="X35" i="62"/>
  <c r="W35" i="62"/>
  <c r="V35" i="62"/>
  <c r="U35" i="62"/>
  <c r="T35" i="62"/>
  <c r="S35" i="62"/>
  <c r="R35" i="62"/>
  <c r="Q35" i="62"/>
  <c r="P35" i="62"/>
  <c r="O35" i="62"/>
  <c r="N35" i="62"/>
  <c r="M35" i="62"/>
  <c r="L35" i="62"/>
  <c r="L59" i="62" s="1" a="1"/>
  <c r="L59" i="62" s="1"/>
  <c r="K35" i="62"/>
  <c r="J35" i="62"/>
  <c r="I35" i="62"/>
  <c r="H35" i="62"/>
  <c r="G35" i="62"/>
  <c r="F35" i="62"/>
  <c r="E35" i="62"/>
  <c r="D35" i="62"/>
  <c r="C35" i="62"/>
  <c r="AA27" i="62"/>
  <c r="Z27" i="62"/>
  <c r="Y27" i="62"/>
  <c r="X27" i="62"/>
  <c r="W27" i="62"/>
  <c r="V27" i="62"/>
  <c r="U27" i="62"/>
  <c r="T27" i="62"/>
  <c r="S27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C27" i="62"/>
  <c r="AA19" i="62"/>
  <c r="Z19" i="62"/>
  <c r="Y19" i="62"/>
  <c r="X19" i="62"/>
  <c r="W19" i="62"/>
  <c r="V19" i="62"/>
  <c r="U19" i="62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AA11" i="62"/>
  <c r="Z11" i="62"/>
  <c r="Y11" i="62"/>
  <c r="X11" i="62"/>
  <c r="W11" i="62"/>
  <c r="V11" i="62"/>
  <c r="U11" i="62"/>
  <c r="T11" i="62"/>
  <c r="S11" i="62"/>
  <c r="R11" i="62"/>
  <c r="Q11" i="62"/>
  <c r="Q59" i="62" s="1" a="1"/>
  <c r="Q59" i="62" s="1"/>
  <c r="P11" i="62"/>
  <c r="O11" i="62"/>
  <c r="N11" i="62"/>
  <c r="M11" i="62"/>
  <c r="L11" i="62"/>
  <c r="K11" i="62"/>
  <c r="J11" i="62"/>
  <c r="I11" i="62"/>
  <c r="I59" i="62" s="1" a="1"/>
  <c r="I59" i="62" s="1"/>
  <c r="H11" i="62"/>
  <c r="G11" i="62"/>
  <c r="G59" i="62" s="1" a="1"/>
  <c r="G59" i="62" s="1"/>
  <c r="F11" i="62"/>
  <c r="E11" i="62"/>
  <c r="D11" i="62"/>
  <c r="C11" i="62"/>
  <c r="L19" i="61"/>
  <c r="AA35" i="61"/>
  <c r="Z35" i="61"/>
  <c r="Y35" i="61"/>
  <c r="X35" i="61"/>
  <c r="W35" i="61"/>
  <c r="V35" i="61"/>
  <c r="U35" i="61"/>
  <c r="T35" i="61"/>
  <c r="S35" i="61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C35" i="61"/>
  <c r="AA27" i="61"/>
  <c r="Z27" i="61"/>
  <c r="Y27" i="61"/>
  <c r="X27" i="61"/>
  <c r="W27" i="61"/>
  <c r="V27" i="61"/>
  <c r="U27" i="61"/>
  <c r="T27" i="61"/>
  <c r="S27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C27" i="61"/>
  <c r="AA19" i="61"/>
  <c r="Z19" i="61"/>
  <c r="Y19" i="61"/>
  <c r="X19" i="61"/>
  <c r="W19" i="61"/>
  <c r="V19" i="61"/>
  <c r="U19" i="61"/>
  <c r="T19" i="61"/>
  <c r="S19" i="61"/>
  <c r="R19" i="61"/>
  <c r="Q19" i="61"/>
  <c r="P19" i="61"/>
  <c r="O19" i="61"/>
  <c r="N19" i="61"/>
  <c r="M19" i="61"/>
  <c r="K19" i="61"/>
  <c r="J19" i="61"/>
  <c r="I19" i="61"/>
  <c r="H19" i="61"/>
  <c r="G19" i="61"/>
  <c r="F19" i="61"/>
  <c r="E19" i="61"/>
  <c r="D19" i="61"/>
  <c r="C19" i="61"/>
  <c r="AA11" i="61"/>
  <c r="Z11" i="61"/>
  <c r="Y11" i="61"/>
  <c r="X11" i="61"/>
  <c r="W11" i="61"/>
  <c r="V11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D59" i="61" s="1" a="1"/>
  <c r="D59" i="61" s="1"/>
  <c r="C11" i="61"/>
  <c r="Q35" i="60"/>
  <c r="AA35" i="60"/>
  <c r="Z35" i="60"/>
  <c r="Y35" i="60"/>
  <c r="X35" i="60"/>
  <c r="W35" i="60"/>
  <c r="V35" i="60"/>
  <c r="U35" i="60"/>
  <c r="T35" i="60"/>
  <c r="S35" i="60"/>
  <c r="R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C35" i="60"/>
  <c r="AA27" i="60"/>
  <c r="Z27" i="60"/>
  <c r="Y27" i="60"/>
  <c r="X27" i="60"/>
  <c r="W27" i="60"/>
  <c r="V27" i="60"/>
  <c r="U27" i="60"/>
  <c r="T27" i="60"/>
  <c r="S27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C27" i="60"/>
  <c r="AA19" i="60"/>
  <c r="Z19" i="60"/>
  <c r="Y19" i="60"/>
  <c r="X19" i="60"/>
  <c r="W19" i="60"/>
  <c r="V19" i="60"/>
  <c r="U19" i="60"/>
  <c r="T19" i="60"/>
  <c r="S19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AA11" i="60"/>
  <c r="Z11" i="60"/>
  <c r="Y11" i="60"/>
  <c r="X11" i="60"/>
  <c r="W11" i="60"/>
  <c r="V11" i="60"/>
  <c r="U11" i="60"/>
  <c r="T11" i="60"/>
  <c r="S11" i="60"/>
  <c r="R11" i="60"/>
  <c r="Q11" i="60"/>
  <c r="Q59" i="60" s="1" a="1"/>
  <c r="Q59" i="60" s="1"/>
  <c r="P11" i="60"/>
  <c r="O11" i="60"/>
  <c r="N11" i="60"/>
  <c r="M11" i="60"/>
  <c r="L11" i="60"/>
  <c r="K11" i="60"/>
  <c r="J11" i="60"/>
  <c r="I11" i="60"/>
  <c r="I59" i="60" s="1" a="1"/>
  <c r="I59" i="60" s="1"/>
  <c r="H11" i="60"/>
  <c r="G11" i="60"/>
  <c r="F11" i="60"/>
  <c r="E11" i="60"/>
  <c r="D11" i="60"/>
  <c r="C11" i="60"/>
  <c r="I27" i="59"/>
  <c r="AA35" i="59"/>
  <c r="Z35" i="59"/>
  <c r="Y35" i="59"/>
  <c r="X35" i="59"/>
  <c r="W35" i="59"/>
  <c r="V35" i="59"/>
  <c r="U35" i="59"/>
  <c r="T35" i="59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C35" i="59"/>
  <c r="AA27" i="59"/>
  <c r="Z27" i="59"/>
  <c r="Y27" i="59"/>
  <c r="X27" i="59"/>
  <c r="W27" i="59"/>
  <c r="V27" i="59"/>
  <c r="U27" i="59"/>
  <c r="T27" i="59"/>
  <c r="S27" i="59"/>
  <c r="R27" i="59"/>
  <c r="Q27" i="59"/>
  <c r="P27" i="59"/>
  <c r="O27" i="59"/>
  <c r="N27" i="59"/>
  <c r="M27" i="59"/>
  <c r="L27" i="59"/>
  <c r="K27" i="59"/>
  <c r="J27" i="59"/>
  <c r="H27" i="59"/>
  <c r="G27" i="59"/>
  <c r="F27" i="59"/>
  <c r="E27" i="59"/>
  <c r="D27" i="59"/>
  <c r="C27" i="59"/>
  <c r="AA19" i="59"/>
  <c r="Z19" i="59"/>
  <c r="Y19" i="59"/>
  <c r="X19" i="59"/>
  <c r="W19" i="59"/>
  <c r="V19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AA11" i="59"/>
  <c r="Z11" i="59"/>
  <c r="Y11" i="59"/>
  <c r="X11" i="59"/>
  <c r="W11" i="59"/>
  <c r="V11" i="59"/>
  <c r="U11" i="59"/>
  <c r="T11" i="59"/>
  <c r="S11" i="59"/>
  <c r="R11" i="59"/>
  <c r="Q11" i="59"/>
  <c r="Q59" i="59" s="1" a="1"/>
  <c r="Q59" i="59" s="1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AA35" i="57"/>
  <c r="Z35" i="57"/>
  <c r="Y35" i="57"/>
  <c r="X35" i="57"/>
  <c r="W35" i="57"/>
  <c r="V35" i="57"/>
  <c r="U35" i="57"/>
  <c r="T35" i="57"/>
  <c r="S35" i="57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C35" i="57"/>
  <c r="AA27" i="57"/>
  <c r="Z27" i="57"/>
  <c r="Y27" i="57"/>
  <c r="X27" i="57"/>
  <c r="W27" i="57"/>
  <c r="V27" i="57"/>
  <c r="U27" i="57"/>
  <c r="T27" i="57"/>
  <c r="S27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C27" i="57"/>
  <c r="AA19" i="57"/>
  <c r="Z19" i="57"/>
  <c r="Y19" i="57"/>
  <c r="X19" i="57"/>
  <c r="W19" i="57"/>
  <c r="V19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F59" i="57" s="1" a="1"/>
  <c r="F59" i="57" s="1"/>
  <c r="E19" i="57"/>
  <c r="D19" i="57"/>
  <c r="C19" i="57"/>
  <c r="AA11" i="57"/>
  <c r="Z11" i="57"/>
  <c r="Y11" i="57"/>
  <c r="X11" i="57"/>
  <c r="W11" i="57"/>
  <c r="V11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C11" i="57"/>
  <c r="AA19" i="56"/>
  <c r="U19" i="56"/>
  <c r="AA35" i="56"/>
  <c r="Z35" i="56"/>
  <c r="Y35" i="56"/>
  <c r="X35" i="56"/>
  <c r="W35" i="56"/>
  <c r="V35" i="56"/>
  <c r="U35" i="56"/>
  <c r="T35" i="56"/>
  <c r="S35" i="56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C35" i="56"/>
  <c r="AA27" i="56"/>
  <c r="Z27" i="56"/>
  <c r="Y27" i="56"/>
  <c r="X27" i="56"/>
  <c r="W27" i="56"/>
  <c r="V27" i="56"/>
  <c r="U27" i="56"/>
  <c r="T27" i="56"/>
  <c r="S27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C27" i="56"/>
  <c r="Z19" i="56"/>
  <c r="Y19" i="56"/>
  <c r="X19" i="56"/>
  <c r="W19" i="56"/>
  <c r="V19" i="56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AA11" i="56"/>
  <c r="AA59" i="56" s="1" a="1"/>
  <c r="AA59" i="56" s="1"/>
  <c r="Z11" i="56"/>
  <c r="Y11" i="56"/>
  <c r="X11" i="56"/>
  <c r="W11" i="56"/>
  <c r="V11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I11" i="55"/>
  <c r="AA35" i="55"/>
  <c r="Z35" i="55"/>
  <c r="Y35" i="55"/>
  <c r="X35" i="55"/>
  <c r="W35" i="55"/>
  <c r="V35" i="55"/>
  <c r="U35" i="55"/>
  <c r="T35" i="55"/>
  <c r="S35" i="55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C35" i="55"/>
  <c r="AA27" i="55"/>
  <c r="Z27" i="55"/>
  <c r="Y27" i="55"/>
  <c r="X27" i="55"/>
  <c r="W27" i="55"/>
  <c r="V27" i="55"/>
  <c r="U27" i="55"/>
  <c r="T27" i="55"/>
  <c r="S27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C27" i="55"/>
  <c r="AA19" i="55"/>
  <c r="Z19" i="55"/>
  <c r="Y19" i="55"/>
  <c r="X19" i="55"/>
  <c r="W19" i="55"/>
  <c r="V19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AA11" i="55"/>
  <c r="AA59" i="55" s="1" a="1"/>
  <c r="AA59" i="55" s="1"/>
  <c r="Z11" i="55"/>
  <c r="Y11" i="55"/>
  <c r="Y59" i="55" s="1" a="1"/>
  <c r="Y59" i="55" s="1"/>
  <c r="X11" i="55"/>
  <c r="W11" i="55"/>
  <c r="V11" i="55"/>
  <c r="U11" i="55"/>
  <c r="T11" i="55"/>
  <c r="S11" i="55"/>
  <c r="R11" i="55"/>
  <c r="R59" i="55" s="1" a="1"/>
  <c r="R59" i="55" s="1"/>
  <c r="Q11" i="55"/>
  <c r="Q59" i="55" s="1" a="1"/>
  <c r="Q59" i="55" s="1"/>
  <c r="P11" i="55"/>
  <c r="O11" i="55"/>
  <c r="N11" i="55"/>
  <c r="M11" i="55"/>
  <c r="L11" i="55"/>
  <c r="K11" i="55"/>
  <c r="J11" i="55"/>
  <c r="J59" i="55" s="1" a="1"/>
  <c r="J59" i="55" s="1"/>
  <c r="I59" i="55" a="1"/>
  <c r="I59" i="55" s="1"/>
  <c r="H11" i="55"/>
  <c r="G11" i="55"/>
  <c r="F11" i="55"/>
  <c r="E11" i="55"/>
  <c r="D11" i="55"/>
  <c r="C11" i="55"/>
  <c r="P44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P3" i="8"/>
  <c r="M3" i="8"/>
  <c r="J3" i="8"/>
  <c r="G3" i="8"/>
  <c r="D3" i="8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J2" i="7"/>
  <c r="H2" i="7"/>
  <c r="F2" i="7"/>
  <c r="D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2" i="7"/>
  <c r="R59" i="63" l="1" a="1"/>
  <c r="R59" i="63" s="1"/>
  <c r="M59" i="63" a="1"/>
  <c r="M59" i="63" s="1"/>
  <c r="Y59" i="63" a="1"/>
  <c r="Y59" i="63" s="1"/>
  <c r="P59" i="63" a="1"/>
  <c r="P59" i="63" s="1"/>
  <c r="AA59" i="63" a="1"/>
  <c r="AA59" i="63" s="1"/>
  <c r="X59" i="63" a="1"/>
  <c r="X59" i="63" s="1"/>
  <c r="V59" i="63" a="1"/>
  <c r="V59" i="63" s="1"/>
  <c r="U59" i="63" a="1"/>
  <c r="U59" i="63" s="1"/>
  <c r="Q59" i="63" a="1"/>
  <c r="Q59" i="63" s="1"/>
  <c r="H59" i="63" a="1"/>
  <c r="H59" i="63" s="1"/>
  <c r="K59" i="63" a="1"/>
  <c r="K59" i="63" s="1"/>
  <c r="O59" i="63" a="1"/>
  <c r="O59" i="63" s="1"/>
  <c r="N59" i="63" a="1"/>
  <c r="N59" i="63" s="1"/>
  <c r="S59" i="63" a="1"/>
  <c r="S59" i="63" s="1"/>
  <c r="Z59" i="63" a="1"/>
  <c r="Z59" i="63" s="1"/>
  <c r="I59" i="63" a="1"/>
  <c r="I59" i="63" s="1"/>
  <c r="W59" i="63" a="1"/>
  <c r="W59" i="63" s="1"/>
  <c r="J59" i="63" a="1"/>
  <c r="J59" i="63" s="1"/>
  <c r="G59" i="63" a="1"/>
  <c r="G59" i="63" s="1"/>
  <c r="F59" i="63" a="1"/>
  <c r="F59" i="63" s="1"/>
  <c r="E59" i="63" a="1"/>
  <c r="E59" i="63" s="1"/>
  <c r="C59" i="63" a="1"/>
  <c r="C59" i="63" s="1"/>
  <c r="D59" i="63" a="1"/>
  <c r="D59" i="63" s="1"/>
  <c r="L59" i="63" a="1"/>
  <c r="L59" i="63" s="1"/>
  <c r="T59" i="63" a="1"/>
  <c r="T59" i="63" s="1"/>
  <c r="T59" i="62" a="1"/>
  <c r="T59" i="62" s="1"/>
  <c r="O59" i="62" a="1"/>
  <c r="O59" i="62" s="1"/>
  <c r="J59" i="62" a="1"/>
  <c r="J59" i="62" s="1"/>
  <c r="Y59" i="62" a="1"/>
  <c r="Y59" i="62" s="1"/>
  <c r="C59" i="62" a="1"/>
  <c r="C59" i="62" s="1"/>
  <c r="K59" i="62" a="1"/>
  <c r="K59" i="62" s="1"/>
  <c r="D59" i="62" a="1"/>
  <c r="D59" i="62" s="1"/>
  <c r="Z59" i="62" a="1"/>
  <c r="Z59" i="62" s="1"/>
  <c r="R59" i="62" a="1"/>
  <c r="R59" i="62" s="1"/>
  <c r="P59" i="62" a="1"/>
  <c r="P59" i="62" s="1"/>
  <c r="S59" i="62" a="1"/>
  <c r="S59" i="62" s="1"/>
  <c r="AA59" i="62" a="1"/>
  <c r="AA59" i="62" s="1"/>
  <c r="F59" i="62" a="1"/>
  <c r="F59" i="62" s="1"/>
  <c r="N59" i="62" a="1"/>
  <c r="N59" i="62" s="1"/>
  <c r="V59" i="62" a="1"/>
  <c r="V59" i="62" s="1"/>
  <c r="E59" i="62" a="1"/>
  <c r="E59" i="62" s="1"/>
  <c r="M59" i="62" a="1"/>
  <c r="M59" i="62" s="1"/>
  <c r="U59" i="62" a="1"/>
  <c r="U59" i="62" s="1"/>
  <c r="X59" i="62" a="1"/>
  <c r="X59" i="62" s="1"/>
  <c r="W59" i="62" a="1"/>
  <c r="W59" i="62" s="1"/>
  <c r="H59" i="62" a="1"/>
  <c r="H59" i="62" s="1"/>
  <c r="P59" i="61" a="1"/>
  <c r="P59" i="61" s="1"/>
  <c r="X59" i="61" a="1"/>
  <c r="X59" i="61" s="1"/>
  <c r="G59" i="61" a="1"/>
  <c r="G59" i="61" s="1"/>
  <c r="S59" i="61" a="1"/>
  <c r="S59" i="61" s="1"/>
  <c r="C59" i="61" a="1"/>
  <c r="C59" i="61" s="1"/>
  <c r="O59" i="61" a="1"/>
  <c r="O59" i="61" s="1"/>
  <c r="T59" i="61" a="1"/>
  <c r="T59" i="61" s="1"/>
  <c r="K59" i="61" a="1"/>
  <c r="K59" i="61" s="1"/>
  <c r="L59" i="61" a="1"/>
  <c r="L59" i="61" s="1"/>
  <c r="H59" i="61" a="1"/>
  <c r="H59" i="61" s="1"/>
  <c r="AA59" i="61" a="1"/>
  <c r="AA59" i="61" s="1"/>
  <c r="E59" i="61" a="1"/>
  <c r="E59" i="61" s="1"/>
  <c r="M59" i="61" a="1"/>
  <c r="M59" i="61" s="1"/>
  <c r="U59" i="61" a="1"/>
  <c r="U59" i="61" s="1"/>
  <c r="W59" i="61" a="1"/>
  <c r="W59" i="61" s="1"/>
  <c r="Z59" i="61" a="1"/>
  <c r="Z59" i="61" s="1"/>
  <c r="I59" i="61" a="1"/>
  <c r="I59" i="61" s="1"/>
  <c r="Q59" i="61" a="1"/>
  <c r="Q59" i="61" s="1"/>
  <c r="Y59" i="61" a="1"/>
  <c r="Y59" i="61" s="1"/>
  <c r="J59" i="61" a="1"/>
  <c r="J59" i="61" s="1"/>
  <c r="R59" i="61" a="1"/>
  <c r="R59" i="61" s="1"/>
  <c r="F59" i="61" a="1"/>
  <c r="F59" i="61" s="1"/>
  <c r="N59" i="61" a="1"/>
  <c r="N59" i="61" s="1"/>
  <c r="V59" i="61" a="1"/>
  <c r="V59" i="61" s="1"/>
  <c r="L59" i="60" a="1"/>
  <c r="L59" i="60" s="1"/>
  <c r="Y59" i="60" a="1"/>
  <c r="Y59" i="60" s="1"/>
  <c r="M59" i="60" a="1"/>
  <c r="M59" i="60" s="1"/>
  <c r="H59" i="60" a="1"/>
  <c r="H59" i="60" s="1"/>
  <c r="P59" i="60" a="1"/>
  <c r="P59" i="60" s="1"/>
  <c r="X59" i="60" a="1"/>
  <c r="X59" i="60" s="1"/>
  <c r="D59" i="60" a="1"/>
  <c r="D59" i="60" s="1"/>
  <c r="T59" i="60" a="1"/>
  <c r="T59" i="60" s="1"/>
  <c r="F59" i="60" a="1"/>
  <c r="F59" i="60" s="1"/>
  <c r="N59" i="60" a="1"/>
  <c r="N59" i="60" s="1"/>
  <c r="V59" i="60" a="1"/>
  <c r="V59" i="60" s="1"/>
  <c r="U59" i="60" a="1"/>
  <c r="U59" i="60" s="1"/>
  <c r="E59" i="60" a="1"/>
  <c r="E59" i="60" s="1"/>
  <c r="C59" i="60" a="1"/>
  <c r="C59" i="60" s="1"/>
  <c r="K59" i="60" a="1"/>
  <c r="K59" i="60" s="1"/>
  <c r="S59" i="60" a="1"/>
  <c r="S59" i="60" s="1"/>
  <c r="AA59" i="60" a="1"/>
  <c r="AA59" i="60" s="1"/>
  <c r="G59" i="60" a="1"/>
  <c r="G59" i="60" s="1"/>
  <c r="O59" i="60" a="1"/>
  <c r="O59" i="60" s="1"/>
  <c r="W59" i="60" a="1"/>
  <c r="W59" i="60" s="1"/>
  <c r="J59" i="60" a="1"/>
  <c r="J59" i="60" s="1"/>
  <c r="R59" i="60" a="1"/>
  <c r="R59" i="60" s="1"/>
  <c r="Z59" i="60" a="1"/>
  <c r="Z59" i="60" s="1"/>
  <c r="L59" i="59" a="1"/>
  <c r="L59" i="59" s="1"/>
  <c r="G59" i="59" a="1"/>
  <c r="G59" i="59" s="1"/>
  <c r="W59" i="59" a="1"/>
  <c r="W59" i="59" s="1"/>
  <c r="T59" i="59" a="1"/>
  <c r="T59" i="59" s="1"/>
  <c r="D59" i="59" a="1"/>
  <c r="D59" i="59" s="1"/>
  <c r="O59" i="59" a="1"/>
  <c r="O59" i="59" s="1"/>
  <c r="F59" i="59" a="1"/>
  <c r="F59" i="59" s="1"/>
  <c r="I59" i="59" a="1"/>
  <c r="I59" i="59" s="1"/>
  <c r="Y59" i="59" a="1"/>
  <c r="Y59" i="59" s="1"/>
  <c r="R59" i="59" a="1"/>
  <c r="R59" i="59" s="1"/>
  <c r="Z59" i="59" a="1"/>
  <c r="Z59" i="59" s="1"/>
  <c r="C59" i="59" a="1"/>
  <c r="C59" i="59" s="1"/>
  <c r="K59" i="59" a="1"/>
  <c r="K59" i="59" s="1"/>
  <c r="S59" i="59" a="1"/>
  <c r="S59" i="59" s="1"/>
  <c r="AA59" i="59" a="1"/>
  <c r="AA59" i="59" s="1"/>
  <c r="E59" i="59" a="1"/>
  <c r="E59" i="59" s="1"/>
  <c r="M59" i="59" a="1"/>
  <c r="M59" i="59" s="1"/>
  <c r="U59" i="59" a="1"/>
  <c r="U59" i="59" s="1"/>
  <c r="P59" i="59" a="1"/>
  <c r="P59" i="59" s="1"/>
  <c r="X59" i="59" a="1"/>
  <c r="X59" i="59" s="1"/>
  <c r="V59" i="59" a="1"/>
  <c r="V59" i="59" s="1"/>
  <c r="J59" i="59" a="1"/>
  <c r="J59" i="59" s="1"/>
  <c r="N59" i="59" a="1"/>
  <c r="N59" i="59" s="1"/>
  <c r="H59" i="59" a="1"/>
  <c r="H59" i="59" s="1"/>
  <c r="V59" i="57" a="1"/>
  <c r="V59" i="57" s="1"/>
  <c r="C59" i="57" a="1"/>
  <c r="C59" i="57" s="1"/>
  <c r="AA59" i="57" a="1"/>
  <c r="AA59" i="57" s="1"/>
  <c r="L59" i="57" a="1"/>
  <c r="L59" i="57" s="1"/>
  <c r="S59" i="57" a="1"/>
  <c r="S59" i="57" s="1"/>
  <c r="D59" i="57" a="1"/>
  <c r="D59" i="57" s="1"/>
  <c r="Q59" i="57" a="1"/>
  <c r="Q59" i="57" s="1"/>
  <c r="H59" i="57" a="1"/>
  <c r="H59" i="57" s="1"/>
  <c r="P59" i="57" a="1"/>
  <c r="P59" i="57" s="1"/>
  <c r="T59" i="57" a="1"/>
  <c r="T59" i="57" s="1"/>
  <c r="X59" i="57" a="1"/>
  <c r="X59" i="57" s="1"/>
  <c r="I59" i="57" a="1"/>
  <c r="I59" i="57" s="1"/>
  <c r="N59" i="57" a="1"/>
  <c r="N59" i="57" s="1"/>
  <c r="K59" i="57" a="1"/>
  <c r="K59" i="57" s="1"/>
  <c r="Y59" i="57" a="1"/>
  <c r="Y59" i="57" s="1"/>
  <c r="J59" i="57" a="1"/>
  <c r="J59" i="57" s="1"/>
  <c r="R59" i="57" a="1"/>
  <c r="R59" i="57" s="1"/>
  <c r="Z59" i="57" a="1"/>
  <c r="Z59" i="57" s="1"/>
  <c r="E59" i="57" a="1"/>
  <c r="E59" i="57" s="1"/>
  <c r="M59" i="57" a="1"/>
  <c r="M59" i="57" s="1"/>
  <c r="U59" i="57" a="1"/>
  <c r="U59" i="57" s="1"/>
  <c r="G59" i="57" a="1"/>
  <c r="G59" i="57" s="1"/>
  <c r="O59" i="57" a="1"/>
  <c r="O59" i="57" s="1"/>
  <c r="W59" i="57" a="1"/>
  <c r="W59" i="57" s="1"/>
  <c r="S59" i="56" a="1"/>
  <c r="S59" i="56" s="1"/>
  <c r="Y59" i="56" a="1"/>
  <c r="Y59" i="56" s="1"/>
  <c r="P59" i="56" a="1"/>
  <c r="P59" i="56" s="1"/>
  <c r="E59" i="56" a="1"/>
  <c r="E59" i="56" s="1"/>
  <c r="I59" i="56" a="1"/>
  <c r="I59" i="56" s="1"/>
  <c r="X59" i="56" a="1"/>
  <c r="X59" i="56" s="1"/>
  <c r="L59" i="56" a="1"/>
  <c r="L59" i="56" s="1"/>
  <c r="H59" i="56" a="1"/>
  <c r="H59" i="56" s="1"/>
  <c r="D59" i="56" a="1"/>
  <c r="D59" i="56" s="1"/>
  <c r="T59" i="56" a="1"/>
  <c r="T59" i="56" s="1"/>
  <c r="U59" i="56" a="1"/>
  <c r="U59" i="56" s="1"/>
  <c r="M59" i="56" a="1"/>
  <c r="M59" i="56" s="1"/>
  <c r="G59" i="56" a="1"/>
  <c r="G59" i="56" s="1"/>
  <c r="O59" i="56" a="1"/>
  <c r="O59" i="56" s="1"/>
  <c r="W59" i="56" a="1"/>
  <c r="W59" i="56" s="1"/>
  <c r="Q59" i="56" a="1"/>
  <c r="Q59" i="56" s="1"/>
  <c r="F59" i="56" a="1"/>
  <c r="F59" i="56" s="1"/>
  <c r="N59" i="56" a="1"/>
  <c r="N59" i="56" s="1"/>
  <c r="V59" i="56" a="1"/>
  <c r="V59" i="56" s="1"/>
  <c r="K59" i="56" a="1"/>
  <c r="K59" i="56" s="1"/>
  <c r="R59" i="56" a="1"/>
  <c r="R59" i="56" s="1"/>
  <c r="C59" i="56" a="1"/>
  <c r="C59" i="56" s="1"/>
  <c r="J59" i="56" a="1"/>
  <c r="J59" i="56" s="1"/>
  <c r="Z59" i="56" a="1"/>
  <c r="Z59" i="56" s="1"/>
  <c r="K59" i="55" a="1"/>
  <c r="K59" i="55" s="1"/>
  <c r="L59" i="55" a="1"/>
  <c r="L59" i="55" s="1"/>
  <c r="H59" i="55" a="1"/>
  <c r="H59" i="55" s="1"/>
  <c r="H61" i="55" s="1"/>
  <c r="P59" i="55" a="1"/>
  <c r="P59" i="55" s="1"/>
  <c r="X59" i="55" a="1"/>
  <c r="X59" i="55" s="1"/>
  <c r="D59" i="55" a="1"/>
  <c r="D59" i="55" s="1"/>
  <c r="G59" i="55" a="1"/>
  <c r="G59" i="55" s="1"/>
  <c r="O59" i="55" a="1"/>
  <c r="O59" i="55" s="1"/>
  <c r="W59" i="55" a="1"/>
  <c r="W59" i="55" s="1"/>
  <c r="S59" i="55" a="1"/>
  <c r="S59" i="55" s="1"/>
  <c r="T59" i="55" a="1"/>
  <c r="T59" i="55" s="1"/>
  <c r="Z59" i="55" a="1"/>
  <c r="Z59" i="55" s="1"/>
  <c r="C59" i="55" a="1"/>
  <c r="C59" i="55" s="1"/>
  <c r="U59" i="55" a="1"/>
  <c r="U59" i="55" s="1"/>
  <c r="M59" i="55" a="1"/>
  <c r="M59" i="55" s="1"/>
  <c r="V59" i="55" a="1"/>
  <c r="V59" i="55" s="1"/>
  <c r="F59" i="55" a="1"/>
  <c r="F59" i="55" s="1"/>
  <c r="N59" i="55" a="1"/>
  <c r="N59" i="55" s="1"/>
  <c r="E59" i="55" a="1"/>
  <c r="E59" i="55" s="1"/>
  <c r="H11" i="54"/>
  <c r="AA35" i="54"/>
  <c r="Z35" i="54"/>
  <c r="Y35" i="54"/>
  <c r="X35" i="54"/>
  <c r="W35" i="54"/>
  <c r="V35" i="54"/>
  <c r="U35" i="54"/>
  <c r="T35" i="54"/>
  <c r="S35" i="54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C35" i="54"/>
  <c r="AA27" i="54"/>
  <c r="Z27" i="54"/>
  <c r="Y27" i="54"/>
  <c r="X27" i="54"/>
  <c r="W27" i="54"/>
  <c r="V27" i="54"/>
  <c r="U27" i="54"/>
  <c r="T27" i="54"/>
  <c r="S27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C27" i="54"/>
  <c r="AA19" i="54"/>
  <c r="Z19" i="54"/>
  <c r="Y19" i="54"/>
  <c r="X19" i="54"/>
  <c r="W19" i="54"/>
  <c r="V19" i="54"/>
  <c r="U19" i="54"/>
  <c r="T19" i="54"/>
  <c r="S19" i="54"/>
  <c r="R19" i="54"/>
  <c r="Q19" i="54"/>
  <c r="P19" i="54"/>
  <c r="O19" i="54"/>
  <c r="N19" i="54"/>
  <c r="N59" i="54" s="1" a="1"/>
  <c r="N59" i="54" s="1"/>
  <c r="M19" i="54"/>
  <c r="L19" i="54"/>
  <c r="K19" i="54"/>
  <c r="J19" i="54"/>
  <c r="I19" i="54"/>
  <c r="H19" i="54"/>
  <c r="G19" i="54"/>
  <c r="F19" i="54"/>
  <c r="E19" i="54"/>
  <c r="D19" i="54"/>
  <c r="C19" i="54"/>
  <c r="AA11" i="54"/>
  <c r="AA59" i="54" s="1" a="1"/>
  <c r="AA59" i="54" s="1"/>
  <c r="Z11" i="54"/>
  <c r="Z59" i="54" s="1" a="1"/>
  <c r="Z59" i="54" s="1"/>
  <c r="Y11" i="54"/>
  <c r="X11" i="54"/>
  <c r="W11" i="54"/>
  <c r="V11" i="54"/>
  <c r="U11" i="54"/>
  <c r="T11" i="54"/>
  <c r="T59" i="54" s="1" a="1"/>
  <c r="T59" i="54" s="1"/>
  <c r="S11" i="54"/>
  <c r="S59" i="54" s="1" a="1"/>
  <c r="S59" i="54" s="1"/>
  <c r="R11" i="54"/>
  <c r="R59" i="54" s="1" a="1"/>
  <c r="R59" i="54" s="1"/>
  <c r="Q11" i="54"/>
  <c r="P11" i="54"/>
  <c r="O11" i="54"/>
  <c r="N11" i="54"/>
  <c r="M11" i="54"/>
  <c r="L11" i="54"/>
  <c r="K11" i="54"/>
  <c r="K59" i="54" s="1" a="1"/>
  <c r="K59" i="54" s="1"/>
  <c r="J11" i="54"/>
  <c r="J59" i="54" s="1" a="1"/>
  <c r="J59" i="54" s="1"/>
  <c r="I11" i="54"/>
  <c r="G11" i="54"/>
  <c r="G59" i="54" s="1" a="1"/>
  <c r="G59" i="54" s="1"/>
  <c r="F11" i="54"/>
  <c r="E11" i="54"/>
  <c r="D11" i="54"/>
  <c r="D59" i="54" s="1" a="1"/>
  <c r="D59" i="54" s="1"/>
  <c r="C11" i="54"/>
  <c r="C59" i="54" s="1" a="1"/>
  <c r="C59" i="54" s="1"/>
  <c r="M61" i="63" l="1"/>
  <c r="R61" i="63"/>
  <c r="W61" i="63"/>
  <c r="H61" i="63"/>
  <c r="C61" i="63"/>
  <c r="H61" i="62"/>
  <c r="C61" i="62"/>
  <c r="M61" i="62"/>
  <c r="R61" i="62"/>
  <c r="W61" i="62"/>
  <c r="C61" i="61"/>
  <c r="H61" i="61"/>
  <c r="R61" i="61"/>
  <c r="M61" i="61"/>
  <c r="W61" i="61"/>
  <c r="M61" i="60"/>
  <c r="W61" i="60"/>
  <c r="C61" i="60"/>
  <c r="H61" i="60"/>
  <c r="R61" i="60"/>
  <c r="W61" i="59"/>
  <c r="C61" i="59"/>
  <c r="R61" i="59"/>
  <c r="M61" i="59"/>
  <c r="H61" i="59"/>
  <c r="M61" i="57"/>
  <c r="H61" i="57"/>
  <c r="W61" i="57"/>
  <c r="C61" i="57"/>
  <c r="R61" i="57"/>
  <c r="W61" i="56"/>
  <c r="M61" i="56"/>
  <c r="H61" i="56"/>
  <c r="C61" i="56"/>
  <c r="R61" i="56"/>
  <c r="M61" i="55"/>
  <c r="W61" i="55"/>
  <c r="C61" i="55"/>
  <c r="R61" i="55"/>
  <c r="L59" i="54" a="1"/>
  <c r="L59" i="54" s="1"/>
  <c r="O59" i="54" a="1"/>
  <c r="O59" i="54" s="1"/>
  <c r="W59" i="54" a="1"/>
  <c r="W59" i="54" s="1"/>
  <c r="F59" i="54" a="1"/>
  <c r="F59" i="54" s="1"/>
  <c r="V59" i="54" a="1"/>
  <c r="V59" i="54" s="1"/>
  <c r="I59" i="54" a="1"/>
  <c r="I59" i="54" s="1"/>
  <c r="Q59" i="54" a="1"/>
  <c r="Q59" i="54" s="1"/>
  <c r="Y59" i="54" a="1"/>
  <c r="Y59" i="54" s="1"/>
  <c r="E59" i="54" a="1"/>
  <c r="E59" i="54" s="1"/>
  <c r="M59" i="54" a="1"/>
  <c r="M59" i="54" s="1"/>
  <c r="U59" i="54" a="1"/>
  <c r="U59" i="54" s="1"/>
  <c r="H59" i="54" a="1"/>
  <c r="H59" i="54" s="1"/>
  <c r="P59" i="54" a="1"/>
  <c r="P59" i="54" s="1"/>
  <c r="X59" i="54" a="1"/>
  <c r="X59" i="54" s="1"/>
  <c r="K46" i="7"/>
  <c r="I46" i="7"/>
  <c r="G46" i="7"/>
  <c r="E46" i="7"/>
  <c r="C46" i="7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C61" i="54" l="1"/>
  <c r="R61" i="54"/>
  <c r="W61" i="54"/>
  <c r="M61" i="54"/>
  <c r="H61" i="54"/>
  <c r="J46" i="8"/>
  <c r="P46" i="8"/>
  <c r="M46" i="8"/>
  <c r="G46" i="8"/>
  <c r="D46" i="8"/>
  <c r="G59" i="6" a="1"/>
  <c r="G59" i="6" s="1"/>
  <c r="O59" i="6" a="1"/>
  <c r="O59" i="6" s="1"/>
  <c r="W59" i="6" a="1"/>
  <c r="W59" i="6" s="1"/>
  <c r="H59" i="6" a="1"/>
  <c r="H59" i="6" s="1"/>
  <c r="P59" i="6" a="1"/>
  <c r="P59" i="6" s="1"/>
  <c r="X59" i="6" a="1"/>
  <c r="X59" i="6" s="1"/>
  <c r="C59" i="6" a="1"/>
  <c r="C59" i="6" s="1"/>
  <c r="K59" i="6" a="1"/>
  <c r="K59" i="6" s="1"/>
  <c r="S59" i="6" a="1"/>
  <c r="S59" i="6" s="1"/>
  <c r="AA59" i="6" a="1"/>
  <c r="AA59" i="6" s="1"/>
  <c r="D59" i="6" a="1"/>
  <c r="D59" i="6" s="1"/>
  <c r="L59" i="6" a="1"/>
  <c r="L59" i="6" s="1"/>
  <c r="T59" i="6" a="1"/>
  <c r="T59" i="6" s="1"/>
  <c r="E59" i="6" a="1"/>
  <c r="E59" i="6" s="1"/>
  <c r="M59" i="6" a="1"/>
  <c r="M59" i="6" s="1"/>
  <c r="U59" i="6" a="1"/>
  <c r="U59" i="6" s="1"/>
  <c r="I59" i="6" a="1"/>
  <c r="I59" i="6" s="1"/>
  <c r="Q59" i="6" a="1"/>
  <c r="Q59" i="6" s="1"/>
  <c r="Y59" i="6" a="1"/>
  <c r="Y59" i="6" s="1"/>
  <c r="F59" i="6" a="1"/>
  <c r="F59" i="6" s="1"/>
  <c r="N59" i="6" a="1"/>
  <c r="N59" i="6" s="1"/>
  <c r="V59" i="6" a="1"/>
  <c r="V59" i="6" s="1"/>
  <c r="J59" i="6" a="1"/>
  <c r="J59" i="6" s="1"/>
  <c r="R59" i="6" a="1"/>
  <c r="R59" i="6" s="1"/>
  <c r="Z59" i="6" a="1"/>
  <c r="Z59" i="6" s="1"/>
  <c r="C61" i="6" l="1"/>
  <c r="M61" i="6"/>
  <c r="W61" i="6"/>
  <c r="R61" i="6"/>
  <c r="H61" i="6"/>
  <c r="B48" i="7" l="1"/>
  <c r="B47" i="7" a="1"/>
  <c r="B47" i="7" s="1"/>
  <c r="J47" i="7" a="1"/>
  <c r="J47" i="7" s="1"/>
  <c r="J48" i="7"/>
  <c r="D47" i="7" a="1"/>
  <c r="D47" i="7" s="1"/>
  <c r="D48" i="7"/>
  <c r="F47" i="7" a="1"/>
  <c r="F47" i="7" s="1"/>
  <c r="F48" i="7"/>
  <c r="H47" i="7" a="1"/>
  <c r="H47" i="7" s="1"/>
  <c r="H48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<sst xmlns="http://schemas.openxmlformats.org/spreadsheetml/2006/main" count="1152" uniqueCount="219">
  <si>
    <t>Nico</t>
  </si>
  <si>
    <t>John</t>
  </si>
  <si>
    <t>Luke</t>
  </si>
  <si>
    <t>Butz</t>
  </si>
  <si>
    <t>AJ</t>
  </si>
  <si>
    <t>Money</t>
  </si>
  <si>
    <t>Fortinet Championship</t>
  </si>
  <si>
    <t>Sanderson Farms Championship</t>
  </si>
  <si>
    <t>Shriners Children's Open</t>
  </si>
  <si>
    <t>ZOZO Championship</t>
  </si>
  <si>
    <t>Butterfield Bermuda Championship</t>
  </si>
  <si>
    <t>WWT Championship</t>
  </si>
  <si>
    <t>Houston Open</t>
  </si>
  <si>
    <t>RSM Classic</t>
  </si>
  <si>
    <t>Hero World Challenge</t>
  </si>
  <si>
    <t>Sentry TOC</t>
  </si>
  <si>
    <t>Sony Open</t>
  </si>
  <si>
    <t>American Express</t>
  </si>
  <si>
    <t>Farmers Insurance Open</t>
  </si>
  <si>
    <t>Pebble Beach Pro-Am</t>
  </si>
  <si>
    <t>Waste Management Open</t>
  </si>
  <si>
    <t>Genesis Invitational</t>
  </si>
  <si>
    <t>Arnold Palmer Invitational</t>
  </si>
  <si>
    <t>Valspar Championship</t>
  </si>
  <si>
    <t>Valero Texas Open</t>
  </si>
  <si>
    <t>The Masters</t>
  </si>
  <si>
    <t>RBC Heritage</t>
  </si>
  <si>
    <t>Zurich Classic</t>
  </si>
  <si>
    <t>Mexico Open</t>
  </si>
  <si>
    <t>PGA Championship</t>
  </si>
  <si>
    <t>Charles Schwab Challenge</t>
  </si>
  <si>
    <t>RBC Canadian Open</t>
  </si>
  <si>
    <t>US Open</t>
  </si>
  <si>
    <t>Travellers Championship</t>
  </si>
  <si>
    <t>Rocket Mortgage Classic</t>
  </si>
  <si>
    <t>John Deere Classic</t>
  </si>
  <si>
    <t>Scottish Open</t>
  </si>
  <si>
    <t>The Open Championship</t>
  </si>
  <si>
    <t>3M Open</t>
  </si>
  <si>
    <t>Wyndham Championship</t>
  </si>
  <si>
    <t xml:space="preserve">Fedex St. Jude </t>
  </si>
  <si>
    <t>BMW Championship</t>
  </si>
  <si>
    <t>Tour Championship</t>
  </si>
  <si>
    <t>Total Points</t>
  </si>
  <si>
    <t>Money Earned</t>
  </si>
  <si>
    <t>Total Wins</t>
  </si>
  <si>
    <t>Place</t>
  </si>
  <si>
    <t>Points</t>
  </si>
  <si>
    <t>Player</t>
  </si>
  <si>
    <t>Major</t>
  </si>
  <si>
    <t>Max Homa</t>
  </si>
  <si>
    <t>CUT</t>
  </si>
  <si>
    <t>Sahith Theegala</t>
  </si>
  <si>
    <t>Cam Davis</t>
  </si>
  <si>
    <t>Mark Hubbard</t>
  </si>
  <si>
    <t>SH Kim</t>
  </si>
  <si>
    <t>Nick Hardy</t>
  </si>
  <si>
    <t>New Event</t>
  </si>
  <si>
    <t>Event Name</t>
  </si>
  <si>
    <t>Course</t>
  </si>
  <si>
    <t>Draft</t>
  </si>
  <si>
    <t>Players</t>
  </si>
  <si>
    <t>R1</t>
  </si>
  <si>
    <t>Albatross/Hole in 1</t>
  </si>
  <si>
    <t>Eagle</t>
  </si>
  <si>
    <t>Birdie</t>
  </si>
  <si>
    <t>Bogey</t>
  </si>
  <si>
    <t>Double Bogey</t>
  </si>
  <si>
    <t>Worse</t>
  </si>
  <si>
    <t>R2</t>
  </si>
  <si>
    <t>R3</t>
  </si>
  <si>
    <t>R4</t>
  </si>
  <si>
    <t>Finish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</si>
  <si>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</si>
  <si>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</si>
  <si>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</si>
  <si>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</si>
  <si>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</si>
  <si>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</si>
  <si>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</si>
  <si>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</si>
  <si>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</si>
  <si>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</si>
  <si>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11th-15th</t>
  </si>
  <si>
    <t>16th-20th</t>
  </si>
  <si>
    <t>21st-25th</t>
  </si>
  <si>
    <t>26th-30th</t>
  </si>
  <si>
    <t>31st-40th</t>
  </si>
  <si>
    <t>41st-50th</t>
  </si>
  <si>
    <t>Bonus</t>
  </si>
  <si>
    <t>Cut Missed/WD/DQ</t>
  </si>
  <si>
    <t>All 4 under 70</t>
  </si>
  <si>
    <t>Total</t>
  </si>
  <si>
    <t>Team Total</t>
  </si>
  <si>
    <t>Taylor Montgomery</t>
  </si>
  <si>
    <t>Andrew Putnam</t>
  </si>
  <si>
    <t>Alex Noren</t>
  </si>
  <si>
    <t>Mackenzie Hughes</t>
  </si>
  <si>
    <t>Matt Kuchar</t>
  </si>
  <si>
    <t>Sam Ryder</t>
  </si>
  <si>
    <t>Garrick Higgo</t>
  </si>
  <si>
    <t>Stephen Jaeger</t>
  </si>
  <si>
    <t>Austin Eckroat</t>
  </si>
  <si>
    <t>Justin Thomas</t>
  </si>
  <si>
    <t>Silverado Resort</t>
  </si>
  <si>
    <t>JJ Spaun</t>
  </si>
  <si>
    <t>Justin Suh</t>
  </si>
  <si>
    <t>Brendon Todd</t>
  </si>
  <si>
    <t>Beau Hossler</t>
  </si>
  <si>
    <t>Eric Cole</t>
  </si>
  <si>
    <t>Akshay Bhatia</t>
  </si>
  <si>
    <t>Stephan Jaeger</t>
  </si>
  <si>
    <t>Carson Young</t>
  </si>
  <si>
    <t xml:space="preserve">   </t>
  </si>
  <si>
    <t>Lucas Herbert</t>
  </si>
  <si>
    <t>Bogey Free Round</t>
  </si>
  <si>
    <t>Kevin  Yu</t>
  </si>
  <si>
    <t>The Classic in the Palm Beaches</t>
  </si>
  <si>
    <t>The Players</t>
  </si>
  <si>
    <t>CJ Cup</t>
  </si>
  <si>
    <t>Wells Fargo Championship</t>
  </si>
  <si>
    <t>The Memorial Tournament</t>
  </si>
  <si>
    <t>The Olympics</t>
  </si>
  <si>
    <t>Ludvig Aberg</t>
  </si>
  <si>
    <t>Adam Svennson</t>
  </si>
  <si>
    <t>Callum Tarren</t>
  </si>
  <si>
    <t>KH Lee</t>
  </si>
  <si>
    <t>Emiliano Grillo</t>
  </si>
  <si>
    <t>Keith Mitchell</t>
  </si>
  <si>
    <t>Alex Smalley</t>
  </si>
  <si>
    <t>Tom Hoge</t>
  </si>
  <si>
    <t>Davis Riley</t>
  </si>
  <si>
    <t>Lee Hodges</t>
  </si>
  <si>
    <t>Kevin Streelman</t>
  </si>
  <si>
    <t>Nick Lashley</t>
  </si>
  <si>
    <t>Sam Stevens</t>
  </si>
  <si>
    <t>Kevin Yu</t>
  </si>
  <si>
    <t>The CC of Jackson</t>
  </si>
  <si>
    <t>N/A</t>
  </si>
  <si>
    <t>TPC Summerlin</t>
  </si>
  <si>
    <t>Tom Kim</t>
  </si>
  <si>
    <t>JT Poston</t>
  </si>
  <si>
    <t>Adam Schenk</t>
  </si>
  <si>
    <t>Adam Hadwin</t>
  </si>
  <si>
    <t>Si Woo Kim</t>
  </si>
  <si>
    <t>Mark Hubbar</t>
  </si>
  <si>
    <t>Davis Thompson</t>
  </si>
  <si>
    <t>Nick Taylor</t>
  </si>
  <si>
    <t>Vincent Norrman</t>
  </si>
  <si>
    <t>Luke List</t>
  </si>
  <si>
    <t>Christian Bezuidenhout</t>
  </si>
  <si>
    <t>Nicolai Hojgaard</t>
  </si>
  <si>
    <t>Zozo Championship</t>
  </si>
  <si>
    <t>Accordia Golf CC</t>
  </si>
  <si>
    <t>Xander Schauffele</t>
  </si>
  <si>
    <t>Adam Scott</t>
  </si>
  <si>
    <t>Kurt Kitayama</t>
  </si>
  <si>
    <t>Hideki Matsuyama</t>
  </si>
  <si>
    <t>Sunjae Im</t>
  </si>
  <si>
    <t>Collin Morikawa</t>
  </si>
  <si>
    <t>Min Woo Lee</t>
  </si>
  <si>
    <t>Rickie Fowler</t>
  </si>
  <si>
    <t>Keegan Bradley</t>
  </si>
  <si>
    <t>Thomas Detry</t>
  </si>
  <si>
    <t>Nicolai Hojjgard</t>
  </si>
  <si>
    <t>Cam Champ</t>
  </si>
  <si>
    <t>Aaron Rai</t>
  </si>
  <si>
    <t>Joel Dahmen</t>
  </si>
  <si>
    <t>El Cardonal</t>
  </si>
  <si>
    <t>Cam Young</t>
  </si>
  <si>
    <t>Lucas Glover</t>
  </si>
  <si>
    <t>Emilliano Grillo</t>
  </si>
  <si>
    <t>Ben Griffen</t>
  </si>
  <si>
    <t>Taylor Pendrith</t>
  </si>
  <si>
    <t>Chris Kirk</t>
  </si>
  <si>
    <t>Erik Van Rooyen</t>
  </si>
  <si>
    <t>Maverik McNeally</t>
  </si>
  <si>
    <t>Carl Yuan</t>
  </si>
  <si>
    <t>Port Royal GC</t>
  </si>
  <si>
    <t>Sam Bennett</t>
  </si>
  <si>
    <t>Ben Griffin</t>
  </si>
  <si>
    <t>Dylan Wu</t>
  </si>
  <si>
    <t>Justin Lower</t>
  </si>
  <si>
    <t>Doug Ghim</t>
  </si>
  <si>
    <t>Vince Whaley</t>
  </si>
  <si>
    <t>Adam Long</t>
  </si>
  <si>
    <t>David Lipsky</t>
  </si>
  <si>
    <t>Ryan Moore</t>
  </si>
  <si>
    <t>CT Pan</t>
  </si>
  <si>
    <t>Austin Smotherman</t>
  </si>
  <si>
    <t>Sea Island Resort</t>
  </si>
  <si>
    <t>Brian Harman</t>
  </si>
  <si>
    <t>Russell Henley</t>
  </si>
  <si>
    <t>Corey Conners</t>
  </si>
  <si>
    <t>Denny McCarthy</t>
  </si>
  <si>
    <t>Harris English</t>
  </si>
  <si>
    <t>Billy Horschel</t>
  </si>
  <si>
    <t>Albany</t>
  </si>
  <si>
    <t>Viktor Hovland</t>
  </si>
  <si>
    <t>Jordan Spieth</t>
  </si>
  <si>
    <t>Will Zalatoris</t>
  </si>
  <si>
    <t>Justin Rose</t>
  </si>
  <si>
    <t>Scottie Scheffler</t>
  </si>
  <si>
    <t>Tony Finau</t>
  </si>
  <si>
    <t>Matt Fitzpatrick</t>
  </si>
  <si>
    <t>Wyndham Clark</t>
  </si>
  <si>
    <t>Sam Burns</t>
  </si>
  <si>
    <t>Jason Day</t>
  </si>
  <si>
    <t>Tiger Woods</t>
  </si>
  <si>
    <t>Sepp Straka</t>
  </si>
  <si>
    <t>Kapalua</t>
  </si>
  <si>
    <t>Tyrell Hatton</t>
  </si>
  <si>
    <t>Patrick Cantlay</t>
  </si>
  <si>
    <t>Tommy Fleetwood</t>
  </si>
  <si>
    <t>Byong Hun An</t>
  </si>
  <si>
    <t>PGA West</t>
  </si>
  <si>
    <t>JT Potson</t>
  </si>
  <si>
    <t>Sungjae Im</t>
  </si>
  <si>
    <t>Shane Lowry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</si>
</sst>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7" xfId="0" applyFill="1" applyBorder="1"/>
    <xf numFmtId="0" fontId="0" fillId="3" borderId="12" xfId="0" applyFill="1" applyBorder="1"/>
    <xf numFmtId="0" fontId="0" fillId="4" borderId="4" xfId="0" applyFill="1" applyBorder="1"/>
    <xf numFmtId="0" fontId="0" fillId="5" borderId="4" xfId="0" applyFill="1" applyBorder="1" applyAlignment="1">
      <alignment horizontal="centerContinuous"/>
    </xf>
    <xf numFmtId="0" fontId="0" fillId="5" borderId="5" xfId="0" applyFill="1" applyBorder="1" applyAlignment="1">
      <alignment horizontal="centerContinuous"/>
    </xf>
    <xf numFmtId="0" fontId="0" fillId="5" borderId="6" xfId="0" applyFill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0" fillId="6" borderId="6" xfId="0" applyFill="1" applyBorder="1"/>
    <xf numFmtId="0" fontId="0" fillId="0" borderId="12" xfId="0" applyBorder="1"/>
    <xf numFmtId="0" fontId="0" fillId="0" borderId="14" xfId="0" applyBorder="1"/>
    <xf numFmtId="0" fontId="0" fillId="6" borderId="3" xfId="0" applyFill="1" applyBorder="1"/>
    <xf numFmtId="0" fontId="0" fillId="7" borderId="12" xfId="0" applyFill="1" applyBorder="1"/>
    <xf numFmtId="0" fontId="0" fillId="8" borderId="12" xfId="0" applyFill="1" applyBorder="1"/>
    <xf numFmtId="0" fontId="0" fillId="7" borderId="4" xfId="0" applyFill="1" applyBorder="1"/>
    <xf numFmtId="0" fontId="0" fillId="4" borderId="12" xfId="0" applyFill="1" applyBorder="1"/>
    <xf numFmtId="2" fontId="0" fillId="4" borderId="12" xfId="0" applyNumberFormat="1" applyFill="1" applyBorder="1"/>
    <xf numFmtId="0" fontId="0" fillId="5" borderId="12" xfId="0" applyFill="1" applyBorder="1"/>
    <xf numFmtId="0" fontId="0" fillId="0" borderId="15" xfId="0" applyBorder="1"/>
    <xf numFmtId="0" fontId="0" fillId="6" borderId="11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2" fontId="0" fillId="0" borderId="0" xfId="0" applyNumberFormat="1"/>
    <xf numFmtId="0" fontId="0" fillId="4" borderId="6" xfId="0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1"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85725</xdr:rowOff>
        </xdr:from>
        <xdr:to>
          <xdr:col>3</xdr:col>
          <xdr:colOff>1076325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C3E8C-3B2A-4004-B07B-F5F06C146416}">
  <sheetPr codeName="Sheet2">
    <tabColor rgb="FFFFFF00"/>
  </sheetPr>
  <dimension ref="A1:L48"/>
  <sheetViews>
    <sheetView workbookViewId="0">
      <selection activeCell="E12" sqref="E12"/>
    </sheetView>
  </sheetViews>
  <sheetFormatPr defaultRowHeight="15" x14ac:dyDescent="0.25"/>
  <cols>
    <col min="1" max="1" width="30.5703125" bestFit="1" customWidth="1"/>
  </cols>
  <sheetData>
    <row r="1" spans="1:12" ht="15.75" thickBot="1" x14ac:dyDescent="0.3">
      <c r="B1" s="3" t="s">
        <v>0</v>
      </c>
      <c r="C1" s="10"/>
      <c r="D1" s="8" t="s">
        <v>1</v>
      </c>
      <c r="E1" s="10"/>
      <c r="F1" s="9" t="s">
        <v>2</v>
      </c>
      <c r="G1" s="9"/>
      <c r="H1" s="8" t="s">
        <v>3</v>
      </c>
      <c r="I1" s="9"/>
      <c r="J1" s="3" t="s">
        <v>4</v>
      </c>
      <c r="K1" s="5"/>
      <c r="L1" t="s">
        <v>5</v>
      </c>
    </row>
    <row r="2" spans="1:12" ht="15.75" thickBot="1" x14ac:dyDescent="0.3">
      <c r="A2" s="8" t="s">
        <v>6</v>
      </c>
      <c r="B2" s="3">
        <f>IF($C2=$E2, 0, IF(C2=MAX($C2, $E2, $G2, $I2, $K2), 4, -1))</f>
        <v>-1</v>
      </c>
      <c r="C2" s="4">
        <v>223</v>
      </c>
      <c r="D2" s="3">
        <f>IF($C2=$E2, 0, IF(E2=MAX($C2, $E2, $G2, $I2, $K2), 4, -1))</f>
        <v>-1</v>
      </c>
      <c r="E2" s="5">
        <v>177</v>
      </c>
      <c r="F2" s="3">
        <f t="shared" ref="F2:F44" si="0">IF($C2=$E2, 0, IF(G2=MAX($C2, $E2, $G2, $I2, $K2), 4, -1))</f>
        <v>4</v>
      </c>
      <c r="G2" s="4">
        <v>255</v>
      </c>
      <c r="H2" s="3">
        <f t="shared" ref="H2:H44" si="1">IF($C2=$E2, 0, IF(I2=MAX($C2, $E2, $G2, $I2, $K2), 4, -1))</f>
        <v>-1</v>
      </c>
      <c r="I2" s="5">
        <v>227</v>
      </c>
      <c r="J2" s="3">
        <f t="shared" ref="J2:J44" si="2">IF($C2=$E2, 0, IF(K2=MAX($C2, $E2, $G2, $I2, $K2), 4, -1))</f>
        <v>-1</v>
      </c>
      <c r="K2" s="37">
        <v>75</v>
      </c>
      <c r="L2">
        <v>5</v>
      </c>
    </row>
    <row r="3" spans="1:12" ht="15.75" thickBot="1" x14ac:dyDescent="0.3">
      <c r="A3" s="27" t="s">
        <v>7</v>
      </c>
      <c r="B3" s="3">
        <f t="shared" ref="B3:B44" si="3">IF($C3=$E3, 0, IF(C3=MAX($C3, $E3, $G3, $I3, $K3), 4, -1))</f>
        <v>4</v>
      </c>
      <c r="C3" s="5">
        <v>239</v>
      </c>
      <c r="D3" s="3">
        <f t="shared" ref="D3:D44" si="4">IF($C3=$E3, 0, IF(E3=MAX($C3, $E3, $G3, $I3, $K3), 4, -1))</f>
        <v>-1</v>
      </c>
      <c r="E3" s="5">
        <v>81</v>
      </c>
      <c r="F3" s="3">
        <f t="shared" si="0"/>
        <v>-1</v>
      </c>
      <c r="G3" s="4">
        <v>68</v>
      </c>
      <c r="H3" s="3">
        <f t="shared" si="1"/>
        <v>-1</v>
      </c>
      <c r="I3" s="5">
        <v>184</v>
      </c>
      <c r="J3" s="3">
        <f t="shared" si="2"/>
        <v>-1</v>
      </c>
      <c r="K3" s="26">
        <v>188</v>
      </c>
      <c r="L3">
        <v>5</v>
      </c>
    </row>
    <row r="4" spans="1:12" ht="15.75" thickBot="1" x14ac:dyDescent="0.3">
      <c r="A4" s="27" t="s">
        <v>8</v>
      </c>
      <c r="B4" s="3">
        <f t="shared" si="3"/>
        <v>4</v>
      </c>
      <c r="C4" s="5">
        <v>269</v>
      </c>
      <c r="D4" s="3">
        <f t="shared" si="4"/>
        <v>-1</v>
      </c>
      <c r="E4" s="5">
        <v>155</v>
      </c>
      <c r="F4" s="3">
        <f t="shared" si="0"/>
        <v>-1</v>
      </c>
      <c r="G4" s="4">
        <v>244</v>
      </c>
      <c r="H4" s="3">
        <f t="shared" si="1"/>
        <v>-1</v>
      </c>
      <c r="I4" s="5">
        <v>216</v>
      </c>
      <c r="J4" s="3">
        <f t="shared" si="2"/>
        <v>-1</v>
      </c>
      <c r="K4" s="26">
        <v>205</v>
      </c>
      <c r="L4">
        <v>5</v>
      </c>
    </row>
    <row r="5" spans="1:12" ht="15.75" thickBot="1" x14ac:dyDescent="0.3">
      <c r="A5" s="27" t="s">
        <v>152</v>
      </c>
      <c r="B5" s="3">
        <f t="shared" si="3"/>
        <v>-1</v>
      </c>
      <c r="C5" s="5">
        <v>123</v>
      </c>
      <c r="D5" s="3">
        <f t="shared" si="4"/>
        <v>-1</v>
      </c>
      <c r="E5" s="5">
        <v>98</v>
      </c>
      <c r="F5" s="3">
        <f t="shared" si="0"/>
        <v>-1</v>
      </c>
      <c r="G5" s="4">
        <v>79</v>
      </c>
      <c r="H5" s="3">
        <f t="shared" si="1"/>
        <v>-1</v>
      </c>
      <c r="I5" s="5">
        <v>72</v>
      </c>
      <c r="J5" s="3">
        <f t="shared" si="2"/>
        <v>4</v>
      </c>
      <c r="K5" s="26">
        <v>196</v>
      </c>
      <c r="L5">
        <v>5</v>
      </c>
    </row>
    <row r="6" spans="1:12" ht="15.75" thickBot="1" x14ac:dyDescent="0.3">
      <c r="A6" s="28" t="s">
        <v>11</v>
      </c>
      <c r="B6" s="3">
        <f t="shared" si="3"/>
        <v>-1</v>
      </c>
      <c r="C6" s="5">
        <v>204</v>
      </c>
      <c r="D6" s="3">
        <f t="shared" si="4"/>
        <v>-1</v>
      </c>
      <c r="E6" s="5">
        <v>234</v>
      </c>
      <c r="F6" s="3">
        <f t="shared" si="0"/>
        <v>-1</v>
      </c>
      <c r="G6" s="4">
        <v>342</v>
      </c>
      <c r="H6" s="3">
        <f t="shared" si="1"/>
        <v>4</v>
      </c>
      <c r="I6" s="5">
        <v>465</v>
      </c>
      <c r="J6" s="3">
        <f t="shared" si="2"/>
        <v>-1</v>
      </c>
      <c r="K6" s="26">
        <v>292</v>
      </c>
      <c r="L6">
        <v>5</v>
      </c>
    </row>
    <row r="7" spans="1:12" ht="15.75" thickBot="1" x14ac:dyDescent="0.3">
      <c r="A7" s="27" t="s">
        <v>10</v>
      </c>
      <c r="B7" s="3">
        <f t="shared" si="3"/>
        <v>-1</v>
      </c>
      <c r="C7" s="5">
        <v>273</v>
      </c>
      <c r="D7" s="3">
        <f t="shared" si="4"/>
        <v>4</v>
      </c>
      <c r="E7" s="5">
        <v>330</v>
      </c>
      <c r="F7" s="3">
        <f t="shared" si="0"/>
        <v>-1</v>
      </c>
      <c r="G7" s="4">
        <v>242</v>
      </c>
      <c r="H7" s="3">
        <f t="shared" si="1"/>
        <v>-1</v>
      </c>
      <c r="I7" s="5">
        <v>316</v>
      </c>
      <c r="J7" s="3">
        <f t="shared" si="2"/>
        <v>-1</v>
      </c>
      <c r="K7" s="26">
        <v>242</v>
      </c>
      <c r="L7">
        <v>5</v>
      </c>
    </row>
    <row r="8" spans="1:12" ht="15.75" thickBot="1" x14ac:dyDescent="0.3">
      <c r="A8" s="36" t="s">
        <v>13</v>
      </c>
      <c r="B8" s="3">
        <f t="shared" si="3"/>
        <v>-1</v>
      </c>
      <c r="C8" s="5">
        <v>300</v>
      </c>
      <c r="D8" s="3">
        <f t="shared" si="4"/>
        <v>-1</v>
      </c>
      <c r="E8" s="5">
        <v>352</v>
      </c>
      <c r="F8" s="3">
        <f t="shared" si="0"/>
        <v>-1</v>
      </c>
      <c r="G8" s="4">
        <v>293</v>
      </c>
      <c r="H8" s="3">
        <f t="shared" si="1"/>
        <v>4</v>
      </c>
      <c r="I8" s="5">
        <v>420</v>
      </c>
      <c r="J8" s="3">
        <f t="shared" si="2"/>
        <v>-1</v>
      </c>
      <c r="K8" s="26">
        <v>341</v>
      </c>
      <c r="L8">
        <v>5</v>
      </c>
    </row>
    <row r="9" spans="1:12" ht="15.75" thickBot="1" x14ac:dyDescent="0.3">
      <c r="A9" s="8" t="s">
        <v>14</v>
      </c>
      <c r="B9" s="3">
        <f t="shared" si="3"/>
        <v>-1</v>
      </c>
      <c r="C9" s="5">
        <v>189</v>
      </c>
      <c r="D9" s="3">
        <f t="shared" si="4"/>
        <v>-1</v>
      </c>
      <c r="E9" s="5">
        <v>252</v>
      </c>
      <c r="F9" s="3">
        <f t="shared" si="0"/>
        <v>-1</v>
      </c>
      <c r="G9" s="4">
        <v>215</v>
      </c>
      <c r="H9" s="3">
        <f t="shared" si="1"/>
        <v>-1</v>
      </c>
      <c r="I9" s="5">
        <v>204</v>
      </c>
      <c r="J9" s="3">
        <f t="shared" si="2"/>
        <v>4</v>
      </c>
      <c r="K9" s="26">
        <v>262</v>
      </c>
      <c r="L9">
        <v>5</v>
      </c>
    </row>
    <row r="10" spans="1:12" ht="15.75" thickBot="1" x14ac:dyDescent="0.3">
      <c r="A10" s="27" t="s">
        <v>15</v>
      </c>
      <c r="B10" s="3">
        <f t="shared" si="3"/>
        <v>-1</v>
      </c>
      <c r="C10" s="10">
        <v>464</v>
      </c>
      <c r="D10" s="3">
        <f t="shared" si="4"/>
        <v>4</v>
      </c>
      <c r="E10" s="10">
        <v>471</v>
      </c>
      <c r="F10" s="3">
        <f t="shared" si="0"/>
        <v>-1</v>
      </c>
      <c r="G10" s="9">
        <v>387</v>
      </c>
      <c r="H10" s="3">
        <f t="shared" si="1"/>
        <v>-1</v>
      </c>
      <c r="I10" s="10">
        <v>349</v>
      </c>
      <c r="J10" s="3">
        <f t="shared" si="2"/>
        <v>-1</v>
      </c>
      <c r="K10" s="26">
        <v>362</v>
      </c>
      <c r="L10">
        <v>5</v>
      </c>
    </row>
    <row r="11" spans="1:12" ht="15.75" thickBot="1" x14ac:dyDescent="0.3">
      <c r="A11" s="27" t="s">
        <v>16</v>
      </c>
      <c r="B11" s="3">
        <f t="shared" si="3"/>
        <v>-1</v>
      </c>
      <c r="C11" s="10">
        <v>226</v>
      </c>
      <c r="D11" s="3">
        <f t="shared" si="4"/>
        <v>-1</v>
      </c>
      <c r="E11" s="10">
        <v>173</v>
      </c>
      <c r="F11" s="3">
        <f t="shared" si="0"/>
        <v>-1</v>
      </c>
      <c r="G11" s="9">
        <v>195</v>
      </c>
      <c r="H11" s="3">
        <f t="shared" si="1"/>
        <v>4</v>
      </c>
      <c r="I11" s="10">
        <v>304</v>
      </c>
      <c r="J11" s="3">
        <f t="shared" si="2"/>
        <v>-1</v>
      </c>
      <c r="K11" s="26">
        <v>212</v>
      </c>
      <c r="L11">
        <v>5</v>
      </c>
    </row>
    <row r="12" spans="1:12" ht="15.75" thickBot="1" x14ac:dyDescent="0.3">
      <c r="A12" s="27" t="s">
        <v>17</v>
      </c>
      <c r="B12" s="3">
        <f t="shared" si="3"/>
        <v>0</v>
      </c>
      <c r="C12" s="10"/>
      <c r="D12" s="3">
        <f t="shared" si="4"/>
        <v>0</v>
      </c>
      <c r="E12" s="10"/>
      <c r="F12" s="3">
        <f t="shared" si="0"/>
        <v>0</v>
      </c>
      <c r="G12" s="9"/>
      <c r="H12" s="3">
        <f t="shared" si="1"/>
        <v>0</v>
      </c>
      <c r="I12" s="10"/>
      <c r="J12" s="3">
        <f t="shared" si="2"/>
        <v>0</v>
      </c>
      <c r="K12" s="29"/>
      <c r="L12">
        <v>5</v>
      </c>
    </row>
    <row r="13" spans="1:12" ht="15.75" thickBot="1" x14ac:dyDescent="0.3">
      <c r="A13" s="27" t="s">
        <v>18</v>
      </c>
      <c r="B13" s="3">
        <f t="shared" si="3"/>
        <v>0</v>
      </c>
      <c r="C13" s="10"/>
      <c r="D13" s="3">
        <f t="shared" si="4"/>
        <v>0</v>
      </c>
      <c r="E13" s="10"/>
      <c r="F13" s="3">
        <f t="shared" si="0"/>
        <v>0</v>
      </c>
      <c r="G13" s="9"/>
      <c r="H13" s="3">
        <f t="shared" si="1"/>
        <v>0</v>
      </c>
      <c r="I13" s="10"/>
      <c r="J13" s="3">
        <f t="shared" si="2"/>
        <v>0</v>
      </c>
      <c r="K13" s="10"/>
      <c r="L13">
        <v>5</v>
      </c>
    </row>
    <row r="14" spans="1:12" ht="15.75" thickBot="1" x14ac:dyDescent="0.3">
      <c r="A14" s="28" t="s">
        <v>19</v>
      </c>
      <c r="B14" s="3">
        <f t="shared" si="3"/>
        <v>0</v>
      </c>
      <c r="C14" s="10"/>
      <c r="D14" s="3">
        <f t="shared" si="4"/>
        <v>0</v>
      </c>
      <c r="E14" s="10"/>
      <c r="F14" s="3">
        <f t="shared" si="0"/>
        <v>0</v>
      </c>
      <c r="G14" s="9"/>
      <c r="H14" s="3">
        <f t="shared" si="1"/>
        <v>0</v>
      </c>
      <c r="I14" s="10"/>
      <c r="J14" s="3">
        <f t="shared" si="2"/>
        <v>0</v>
      </c>
      <c r="K14" s="10"/>
      <c r="L14">
        <v>5</v>
      </c>
    </row>
    <row r="15" spans="1:12" ht="15.75" thickBot="1" x14ac:dyDescent="0.3">
      <c r="A15" s="30" t="s">
        <v>20</v>
      </c>
      <c r="B15" s="3">
        <f t="shared" si="3"/>
        <v>0</v>
      </c>
      <c r="C15" s="10"/>
      <c r="D15" s="3">
        <f t="shared" si="4"/>
        <v>0</v>
      </c>
      <c r="E15" s="10"/>
      <c r="F15" s="3">
        <f t="shared" si="0"/>
        <v>0</v>
      </c>
      <c r="G15" s="9"/>
      <c r="H15" s="3">
        <f t="shared" si="1"/>
        <v>0</v>
      </c>
      <c r="I15" s="10"/>
      <c r="J15" s="3">
        <f t="shared" si="2"/>
        <v>0</v>
      </c>
      <c r="K15" s="10"/>
      <c r="L15">
        <v>10</v>
      </c>
    </row>
    <row r="16" spans="1:12" ht="15.75" thickBot="1" x14ac:dyDescent="0.3">
      <c r="A16" s="27" t="s">
        <v>21</v>
      </c>
      <c r="B16" s="3">
        <f t="shared" si="3"/>
        <v>0</v>
      </c>
      <c r="C16" s="10"/>
      <c r="D16" s="3">
        <f t="shared" si="4"/>
        <v>0</v>
      </c>
      <c r="E16" s="10"/>
      <c r="F16" s="3">
        <f t="shared" si="0"/>
        <v>0</v>
      </c>
      <c r="G16" s="9"/>
      <c r="H16" s="3">
        <f t="shared" si="1"/>
        <v>0</v>
      </c>
      <c r="I16" s="10"/>
      <c r="J16" s="3">
        <f t="shared" si="2"/>
        <v>0</v>
      </c>
      <c r="K16" s="10"/>
      <c r="L16">
        <v>5</v>
      </c>
    </row>
    <row r="17" spans="1:12" ht="15.75" thickBot="1" x14ac:dyDescent="0.3">
      <c r="A17" s="27" t="s">
        <v>28</v>
      </c>
      <c r="B17" s="3">
        <f t="shared" si="3"/>
        <v>0</v>
      </c>
      <c r="C17" s="10"/>
      <c r="D17" s="3">
        <f t="shared" si="4"/>
        <v>0</v>
      </c>
      <c r="E17" s="10"/>
      <c r="F17" s="3">
        <f t="shared" si="0"/>
        <v>0</v>
      </c>
      <c r="G17" s="9"/>
      <c r="H17" s="3">
        <f t="shared" si="1"/>
        <v>0</v>
      </c>
      <c r="I17" s="10"/>
      <c r="J17" s="3">
        <f t="shared" si="2"/>
        <v>0</v>
      </c>
      <c r="K17" s="10"/>
      <c r="L17">
        <v>5</v>
      </c>
    </row>
    <row r="18" spans="1:12" ht="15.75" thickBot="1" x14ac:dyDescent="0.3">
      <c r="A18" s="27" t="s">
        <v>117</v>
      </c>
      <c r="B18" s="3">
        <f t="shared" si="3"/>
        <v>0</v>
      </c>
      <c r="C18" s="10"/>
      <c r="D18" s="3">
        <f t="shared" si="4"/>
        <v>0</v>
      </c>
      <c r="E18" s="10"/>
      <c r="F18" s="3">
        <f t="shared" si="0"/>
        <v>0</v>
      </c>
      <c r="G18" s="9"/>
      <c r="H18" s="3">
        <f t="shared" si="1"/>
        <v>0</v>
      </c>
      <c r="I18" s="10"/>
      <c r="J18" s="3">
        <f t="shared" si="2"/>
        <v>0</v>
      </c>
      <c r="K18" s="10"/>
      <c r="L18">
        <v>5</v>
      </c>
    </row>
    <row r="19" spans="1:12" ht="15.75" thickBot="1" x14ac:dyDescent="0.3">
      <c r="A19" s="27" t="s">
        <v>22</v>
      </c>
      <c r="B19" s="3">
        <f t="shared" si="3"/>
        <v>0</v>
      </c>
      <c r="C19" s="10"/>
      <c r="D19" s="3">
        <f t="shared" si="4"/>
        <v>0</v>
      </c>
      <c r="E19" s="10"/>
      <c r="F19" s="3">
        <f t="shared" si="0"/>
        <v>0</v>
      </c>
      <c r="G19" s="9"/>
      <c r="H19" s="3">
        <f t="shared" si="1"/>
        <v>0</v>
      </c>
      <c r="I19" s="10"/>
      <c r="J19" s="3">
        <f t="shared" si="2"/>
        <v>0</v>
      </c>
      <c r="K19" s="10"/>
      <c r="L19">
        <v>10</v>
      </c>
    </row>
    <row r="20" spans="1:12" ht="15.75" thickBot="1" x14ac:dyDescent="0.3">
      <c r="A20" s="30" t="s">
        <v>118</v>
      </c>
      <c r="B20" s="3">
        <f t="shared" si="3"/>
        <v>0</v>
      </c>
      <c r="C20" s="10"/>
      <c r="D20" s="3">
        <f t="shared" si="4"/>
        <v>0</v>
      </c>
      <c r="E20" s="10"/>
      <c r="F20" s="3">
        <f t="shared" si="0"/>
        <v>0</v>
      </c>
      <c r="G20" s="9"/>
      <c r="H20" s="3">
        <f t="shared" si="1"/>
        <v>0</v>
      </c>
      <c r="I20" s="10"/>
      <c r="J20" s="3">
        <f t="shared" si="2"/>
        <v>0</v>
      </c>
      <c r="K20" s="10"/>
      <c r="L20">
        <v>5</v>
      </c>
    </row>
    <row r="21" spans="1:12" ht="15.75" thickBot="1" x14ac:dyDescent="0.3">
      <c r="A21" s="27" t="s">
        <v>23</v>
      </c>
      <c r="B21" s="3">
        <f t="shared" si="3"/>
        <v>0</v>
      </c>
      <c r="C21" s="10"/>
      <c r="D21" s="3">
        <f t="shared" si="4"/>
        <v>0</v>
      </c>
      <c r="E21" s="10"/>
      <c r="F21" s="3">
        <f t="shared" si="0"/>
        <v>0</v>
      </c>
      <c r="G21" s="9"/>
      <c r="H21" s="3">
        <f t="shared" si="1"/>
        <v>0</v>
      </c>
      <c r="I21" s="10"/>
      <c r="J21" s="3">
        <f t="shared" si="2"/>
        <v>0</v>
      </c>
      <c r="K21" s="10"/>
      <c r="L21">
        <v>5</v>
      </c>
    </row>
    <row r="22" spans="1:12" ht="15.75" thickBot="1" x14ac:dyDescent="0.3">
      <c r="A22" s="27" t="s">
        <v>12</v>
      </c>
      <c r="B22" s="3">
        <f t="shared" si="3"/>
        <v>0</v>
      </c>
      <c r="C22" s="10"/>
      <c r="D22" s="3">
        <f t="shared" si="4"/>
        <v>0</v>
      </c>
      <c r="E22" s="10"/>
      <c r="F22" s="3">
        <f t="shared" si="0"/>
        <v>0</v>
      </c>
      <c r="G22" s="9"/>
      <c r="H22" s="3">
        <f t="shared" si="1"/>
        <v>0</v>
      </c>
      <c r="I22" s="10"/>
      <c r="J22" s="3">
        <f t="shared" si="2"/>
        <v>0</v>
      </c>
      <c r="K22" s="10"/>
      <c r="L22">
        <v>5</v>
      </c>
    </row>
    <row r="23" spans="1:12" ht="15.75" thickBot="1" x14ac:dyDescent="0.3">
      <c r="A23" s="27" t="s">
        <v>24</v>
      </c>
      <c r="B23" s="3">
        <f t="shared" si="3"/>
        <v>0</v>
      </c>
      <c r="C23" s="10"/>
      <c r="D23" s="3">
        <f t="shared" si="4"/>
        <v>0</v>
      </c>
      <c r="E23" s="10"/>
      <c r="F23" s="3">
        <f t="shared" si="0"/>
        <v>0</v>
      </c>
      <c r="G23" s="9"/>
      <c r="H23" s="3">
        <f t="shared" si="1"/>
        <v>0</v>
      </c>
      <c r="I23" s="10"/>
      <c r="J23" s="3">
        <f t="shared" si="2"/>
        <v>0</v>
      </c>
      <c r="K23" s="10"/>
      <c r="L23">
        <v>15</v>
      </c>
    </row>
    <row r="24" spans="1:12" ht="15.75" thickBot="1" x14ac:dyDescent="0.3">
      <c r="A24" s="31" t="s">
        <v>25</v>
      </c>
      <c r="B24" s="3">
        <f t="shared" si="3"/>
        <v>0</v>
      </c>
      <c r="C24" s="10"/>
      <c r="D24" s="3">
        <f t="shared" si="4"/>
        <v>0</v>
      </c>
      <c r="E24" s="10"/>
      <c r="F24" s="3">
        <f t="shared" si="0"/>
        <v>0</v>
      </c>
      <c r="G24" s="9"/>
      <c r="H24" s="3">
        <f t="shared" si="1"/>
        <v>0</v>
      </c>
      <c r="I24" s="10"/>
      <c r="J24" s="3">
        <f t="shared" si="2"/>
        <v>0</v>
      </c>
      <c r="K24" s="10"/>
      <c r="L24">
        <v>5</v>
      </c>
    </row>
    <row r="25" spans="1:12" ht="15.75" thickBot="1" x14ac:dyDescent="0.3">
      <c r="A25" s="27" t="s">
        <v>26</v>
      </c>
      <c r="B25" s="3">
        <f t="shared" si="3"/>
        <v>0</v>
      </c>
      <c r="C25" s="10"/>
      <c r="D25" s="3">
        <f t="shared" si="4"/>
        <v>0</v>
      </c>
      <c r="E25" s="10"/>
      <c r="F25" s="3">
        <f t="shared" si="0"/>
        <v>0</v>
      </c>
      <c r="G25" s="9"/>
      <c r="H25" s="3">
        <f t="shared" si="1"/>
        <v>0</v>
      </c>
      <c r="I25" s="10"/>
      <c r="J25" s="3">
        <f t="shared" si="2"/>
        <v>0</v>
      </c>
      <c r="K25" s="10"/>
      <c r="L25">
        <v>5</v>
      </c>
    </row>
    <row r="26" spans="1:12" ht="15.75" thickBot="1" x14ac:dyDescent="0.3">
      <c r="A26" s="27" t="s">
        <v>27</v>
      </c>
      <c r="B26" s="3">
        <f t="shared" si="3"/>
        <v>0</v>
      </c>
      <c r="C26" s="10"/>
      <c r="D26" s="3">
        <f t="shared" si="4"/>
        <v>0</v>
      </c>
      <c r="E26" s="10"/>
      <c r="F26" s="3">
        <f t="shared" si="0"/>
        <v>0</v>
      </c>
      <c r="G26" s="9"/>
      <c r="H26" s="3">
        <f t="shared" si="1"/>
        <v>0</v>
      </c>
      <c r="I26" s="10"/>
      <c r="J26" s="3">
        <f t="shared" si="2"/>
        <v>0</v>
      </c>
      <c r="K26" s="10"/>
      <c r="L26">
        <v>5</v>
      </c>
    </row>
    <row r="27" spans="1:12" ht="15.75" thickBot="1" x14ac:dyDescent="0.3">
      <c r="A27" s="27" t="s">
        <v>119</v>
      </c>
      <c r="B27" s="3">
        <f t="shared" si="3"/>
        <v>0</v>
      </c>
      <c r="C27" s="10"/>
      <c r="D27" s="3">
        <f t="shared" si="4"/>
        <v>0</v>
      </c>
      <c r="E27" s="10"/>
      <c r="F27" s="3">
        <f t="shared" si="0"/>
        <v>0</v>
      </c>
      <c r="G27" s="9"/>
      <c r="H27" s="3">
        <f t="shared" si="1"/>
        <v>0</v>
      </c>
      <c r="I27" s="10"/>
      <c r="J27" s="3">
        <f t="shared" si="2"/>
        <v>0</v>
      </c>
      <c r="K27" s="10"/>
      <c r="L27">
        <v>5</v>
      </c>
    </row>
    <row r="28" spans="1:12" ht="15.75" thickBot="1" x14ac:dyDescent="0.3">
      <c r="A28" s="27" t="s">
        <v>120</v>
      </c>
      <c r="B28" s="3">
        <f t="shared" si="3"/>
        <v>0</v>
      </c>
      <c r="C28" s="10"/>
      <c r="D28" s="3">
        <f t="shared" si="4"/>
        <v>0</v>
      </c>
      <c r="E28" s="10"/>
      <c r="F28" s="3">
        <f t="shared" si="0"/>
        <v>0</v>
      </c>
      <c r="G28" s="9"/>
      <c r="H28" s="3">
        <f t="shared" si="1"/>
        <v>0</v>
      </c>
      <c r="I28" s="10"/>
      <c r="J28" s="3">
        <f t="shared" si="2"/>
        <v>0</v>
      </c>
      <c r="K28" s="10"/>
      <c r="L28">
        <v>5</v>
      </c>
    </row>
    <row r="29" spans="1:12" ht="15.75" thickBot="1" x14ac:dyDescent="0.3">
      <c r="A29" s="31" t="s">
        <v>29</v>
      </c>
      <c r="B29" s="3">
        <f t="shared" si="3"/>
        <v>0</v>
      </c>
      <c r="C29" s="10"/>
      <c r="D29" s="3">
        <f t="shared" si="4"/>
        <v>0</v>
      </c>
      <c r="E29" s="10"/>
      <c r="F29" s="3">
        <f t="shared" si="0"/>
        <v>0</v>
      </c>
      <c r="G29" s="9"/>
      <c r="H29" s="3">
        <f t="shared" si="1"/>
        <v>0</v>
      </c>
      <c r="I29" s="10"/>
      <c r="J29" s="3">
        <f t="shared" si="2"/>
        <v>0</v>
      </c>
      <c r="K29" s="10"/>
      <c r="L29">
        <v>15</v>
      </c>
    </row>
    <row r="30" spans="1:12" ht="15.75" thickBot="1" x14ac:dyDescent="0.3">
      <c r="A30" s="27" t="s">
        <v>30</v>
      </c>
      <c r="B30" s="3">
        <f t="shared" si="3"/>
        <v>0</v>
      </c>
      <c r="C30" s="10"/>
      <c r="D30" s="3">
        <f t="shared" si="4"/>
        <v>0</v>
      </c>
      <c r="E30" s="10"/>
      <c r="F30" s="3">
        <f t="shared" si="0"/>
        <v>0</v>
      </c>
      <c r="G30" s="9"/>
      <c r="H30" s="3">
        <f t="shared" si="1"/>
        <v>0</v>
      </c>
      <c r="I30" s="10"/>
      <c r="J30" s="3">
        <f t="shared" si="2"/>
        <v>0</v>
      </c>
      <c r="K30" s="10"/>
      <c r="L30">
        <v>5</v>
      </c>
    </row>
    <row r="31" spans="1:12" ht="15.75" thickBot="1" x14ac:dyDescent="0.3">
      <c r="A31" s="27" t="s">
        <v>31</v>
      </c>
      <c r="B31" s="3">
        <f t="shared" si="3"/>
        <v>0</v>
      </c>
      <c r="C31" s="10"/>
      <c r="D31" s="3">
        <f t="shared" si="4"/>
        <v>0</v>
      </c>
      <c r="E31" s="10"/>
      <c r="F31" s="3">
        <f t="shared" si="0"/>
        <v>0</v>
      </c>
      <c r="G31" s="9"/>
      <c r="H31" s="3">
        <f t="shared" si="1"/>
        <v>0</v>
      </c>
      <c r="I31" s="10"/>
      <c r="J31" s="3">
        <f t="shared" si="2"/>
        <v>0</v>
      </c>
      <c r="K31" s="10"/>
      <c r="L31">
        <v>10</v>
      </c>
    </row>
    <row r="32" spans="1:12" ht="15.75" thickBot="1" x14ac:dyDescent="0.3">
      <c r="A32" s="30" t="s">
        <v>121</v>
      </c>
      <c r="B32" s="3">
        <f t="shared" si="3"/>
        <v>0</v>
      </c>
      <c r="C32" s="10"/>
      <c r="D32" s="3">
        <f t="shared" si="4"/>
        <v>0</v>
      </c>
      <c r="E32" s="10"/>
      <c r="F32" s="3">
        <f t="shared" si="0"/>
        <v>0</v>
      </c>
      <c r="G32" s="9"/>
      <c r="H32" s="3">
        <f t="shared" si="1"/>
        <v>0</v>
      </c>
      <c r="I32" s="10"/>
      <c r="J32" s="3">
        <f t="shared" si="2"/>
        <v>0</v>
      </c>
      <c r="K32" s="10"/>
      <c r="L32">
        <v>5</v>
      </c>
    </row>
    <row r="33" spans="1:12" ht="15.75" thickBot="1" x14ac:dyDescent="0.3">
      <c r="A33" s="31" t="s">
        <v>32</v>
      </c>
      <c r="B33" s="3">
        <f t="shared" si="3"/>
        <v>0</v>
      </c>
      <c r="C33" s="10"/>
      <c r="D33" s="3">
        <f t="shared" si="4"/>
        <v>0</v>
      </c>
      <c r="E33" s="10"/>
      <c r="F33" s="3">
        <f t="shared" si="0"/>
        <v>0</v>
      </c>
      <c r="G33" s="9"/>
      <c r="H33" s="3">
        <f t="shared" si="1"/>
        <v>0</v>
      </c>
      <c r="I33" s="10"/>
      <c r="J33" s="3">
        <f t="shared" si="2"/>
        <v>0</v>
      </c>
      <c r="K33" s="10"/>
      <c r="L33">
        <v>15</v>
      </c>
    </row>
    <row r="34" spans="1:12" ht="15.75" thickBot="1" x14ac:dyDescent="0.3">
      <c r="A34" s="27" t="s">
        <v>33</v>
      </c>
      <c r="B34" s="3">
        <f t="shared" si="3"/>
        <v>0</v>
      </c>
      <c r="C34" s="10"/>
      <c r="D34" s="3">
        <f t="shared" si="4"/>
        <v>0</v>
      </c>
      <c r="E34" s="10"/>
      <c r="F34" s="3">
        <f t="shared" si="0"/>
        <v>0</v>
      </c>
      <c r="G34" s="9"/>
      <c r="H34" s="3">
        <f t="shared" si="1"/>
        <v>0</v>
      </c>
      <c r="I34" s="10"/>
      <c r="J34" s="3">
        <f t="shared" si="2"/>
        <v>0</v>
      </c>
      <c r="K34" s="10"/>
      <c r="L34">
        <v>5</v>
      </c>
    </row>
    <row r="35" spans="1:12" ht="15.75" thickBot="1" x14ac:dyDescent="0.3">
      <c r="A35" s="27" t="s">
        <v>34</v>
      </c>
      <c r="B35" s="3">
        <f t="shared" si="3"/>
        <v>0</v>
      </c>
      <c r="C35" s="10"/>
      <c r="D35" s="3">
        <f t="shared" si="4"/>
        <v>0</v>
      </c>
      <c r="E35" s="10"/>
      <c r="F35" s="3">
        <f t="shared" si="0"/>
        <v>0</v>
      </c>
      <c r="G35" s="9"/>
      <c r="H35" s="3">
        <f t="shared" si="1"/>
        <v>0</v>
      </c>
      <c r="I35" s="10"/>
      <c r="J35" s="3">
        <f t="shared" si="2"/>
        <v>0</v>
      </c>
      <c r="K35" s="10"/>
      <c r="L35">
        <v>5</v>
      </c>
    </row>
    <row r="36" spans="1:12" ht="15.75" thickBot="1" x14ac:dyDescent="0.3">
      <c r="A36" s="27" t="s">
        <v>35</v>
      </c>
      <c r="B36" s="3">
        <f t="shared" si="3"/>
        <v>0</v>
      </c>
      <c r="C36" s="5"/>
      <c r="D36" s="3">
        <f t="shared" si="4"/>
        <v>0</v>
      </c>
      <c r="E36" s="5"/>
      <c r="F36" s="3">
        <f t="shared" si="0"/>
        <v>0</v>
      </c>
      <c r="G36" s="4"/>
      <c r="H36" s="3">
        <f t="shared" si="1"/>
        <v>0</v>
      </c>
      <c r="I36" s="10"/>
      <c r="J36" s="3">
        <f t="shared" si="2"/>
        <v>0</v>
      </c>
      <c r="K36" s="10"/>
      <c r="L36">
        <v>5</v>
      </c>
    </row>
    <row r="37" spans="1:12" ht="15.75" thickBot="1" x14ac:dyDescent="0.3">
      <c r="A37" s="28" t="s">
        <v>36</v>
      </c>
      <c r="B37" s="3">
        <f t="shared" si="3"/>
        <v>0</v>
      </c>
      <c r="C37" s="7"/>
      <c r="D37" s="3">
        <f t="shared" si="4"/>
        <v>0</v>
      </c>
      <c r="E37" s="7"/>
      <c r="F37" s="3">
        <f t="shared" si="0"/>
        <v>0</v>
      </c>
      <c r="H37" s="3">
        <f t="shared" si="1"/>
        <v>0</v>
      </c>
      <c r="I37" s="10"/>
      <c r="J37" s="3">
        <f t="shared" si="2"/>
        <v>0</v>
      </c>
      <c r="K37" s="10"/>
      <c r="L37">
        <v>5</v>
      </c>
    </row>
    <row r="38" spans="1:12" ht="15.75" thickBot="1" x14ac:dyDescent="0.3">
      <c r="A38" s="31" t="s">
        <v>37</v>
      </c>
      <c r="B38" s="3">
        <f t="shared" si="3"/>
        <v>0</v>
      </c>
      <c r="C38" s="10"/>
      <c r="D38" s="3">
        <f t="shared" si="4"/>
        <v>0</v>
      </c>
      <c r="E38" s="10"/>
      <c r="F38" s="3">
        <f t="shared" si="0"/>
        <v>0</v>
      </c>
      <c r="G38" s="9"/>
      <c r="H38" s="3">
        <f t="shared" si="1"/>
        <v>0</v>
      </c>
      <c r="I38" s="10"/>
      <c r="J38" s="3">
        <f t="shared" si="2"/>
        <v>0</v>
      </c>
      <c r="K38" s="10"/>
      <c r="L38">
        <v>15</v>
      </c>
    </row>
    <row r="39" spans="1:12" ht="15.75" thickBot="1" x14ac:dyDescent="0.3">
      <c r="A39" s="27" t="s">
        <v>38</v>
      </c>
      <c r="B39" s="3">
        <f t="shared" si="3"/>
        <v>0</v>
      </c>
      <c r="C39" s="10"/>
      <c r="D39" s="3">
        <f t="shared" si="4"/>
        <v>0</v>
      </c>
      <c r="E39" s="10"/>
      <c r="F39" s="3">
        <f t="shared" si="0"/>
        <v>0</v>
      </c>
      <c r="G39" s="9"/>
      <c r="H39" s="3">
        <f t="shared" si="1"/>
        <v>0</v>
      </c>
      <c r="I39" s="10"/>
      <c r="J39" s="3">
        <f t="shared" si="2"/>
        <v>0</v>
      </c>
      <c r="K39" s="10"/>
      <c r="L39">
        <v>5</v>
      </c>
    </row>
    <row r="40" spans="1:12" ht="15.75" thickBot="1" x14ac:dyDescent="0.3">
      <c r="A40" s="28" t="s">
        <v>122</v>
      </c>
      <c r="B40" s="3">
        <f t="shared" si="3"/>
        <v>0</v>
      </c>
      <c r="C40" s="10"/>
      <c r="D40" s="3">
        <f t="shared" si="4"/>
        <v>0</v>
      </c>
      <c r="E40" s="10"/>
      <c r="F40" s="3">
        <f t="shared" si="0"/>
        <v>0</v>
      </c>
      <c r="G40" s="9"/>
      <c r="H40" s="3">
        <f t="shared" si="1"/>
        <v>0</v>
      </c>
      <c r="I40" s="10"/>
      <c r="J40" s="3">
        <f t="shared" si="2"/>
        <v>0</v>
      </c>
      <c r="K40" s="10"/>
      <c r="L40">
        <v>5</v>
      </c>
    </row>
    <row r="41" spans="1:12" ht="15.75" thickBot="1" x14ac:dyDescent="0.3">
      <c r="A41" s="27" t="s">
        <v>39</v>
      </c>
      <c r="B41" s="3">
        <f t="shared" si="3"/>
        <v>0</v>
      </c>
      <c r="C41" s="10"/>
      <c r="D41" s="3">
        <f t="shared" si="4"/>
        <v>0</v>
      </c>
      <c r="E41" s="10"/>
      <c r="F41" s="3">
        <f t="shared" si="0"/>
        <v>0</v>
      </c>
      <c r="G41" s="9"/>
      <c r="H41" s="3">
        <f t="shared" si="1"/>
        <v>0</v>
      </c>
      <c r="I41" s="10"/>
      <c r="J41" s="3">
        <f t="shared" si="2"/>
        <v>0</v>
      </c>
      <c r="K41" s="10"/>
      <c r="L41">
        <v>5</v>
      </c>
    </row>
    <row r="42" spans="1:12" ht="15.75" thickBot="1" x14ac:dyDescent="0.3">
      <c r="A42" s="30" t="s">
        <v>40</v>
      </c>
      <c r="B42" s="3">
        <f t="shared" si="3"/>
        <v>0</v>
      </c>
      <c r="C42" s="10"/>
      <c r="D42" s="3">
        <f t="shared" si="4"/>
        <v>0</v>
      </c>
      <c r="E42" s="10"/>
      <c r="F42" s="3">
        <f t="shared" si="0"/>
        <v>0</v>
      </c>
      <c r="G42" s="9"/>
      <c r="H42" s="3">
        <f t="shared" si="1"/>
        <v>0</v>
      </c>
      <c r="I42" s="5"/>
      <c r="J42" s="3">
        <f t="shared" si="2"/>
        <v>0</v>
      </c>
      <c r="K42" s="5"/>
      <c r="L42">
        <v>10</v>
      </c>
    </row>
    <row r="43" spans="1:12" ht="15.75" thickBot="1" x14ac:dyDescent="0.3">
      <c r="A43" s="32" t="s">
        <v>41</v>
      </c>
      <c r="B43" s="3">
        <f t="shared" si="3"/>
        <v>0</v>
      </c>
      <c r="C43" s="10"/>
      <c r="D43" s="3">
        <f t="shared" si="4"/>
        <v>0</v>
      </c>
      <c r="E43" s="10"/>
      <c r="F43" s="3">
        <f t="shared" si="0"/>
        <v>0</v>
      </c>
      <c r="G43" s="9"/>
      <c r="H43" s="3">
        <f t="shared" si="1"/>
        <v>0</v>
      </c>
      <c r="I43" s="5"/>
      <c r="J43" s="3">
        <f t="shared" si="2"/>
        <v>0</v>
      </c>
      <c r="K43" s="5"/>
      <c r="L43">
        <v>10</v>
      </c>
    </row>
    <row r="44" spans="1:12" ht="15.75" thickBot="1" x14ac:dyDescent="0.3">
      <c r="A44" s="32" t="s">
        <v>42</v>
      </c>
      <c r="B44" s="3">
        <f t="shared" si="3"/>
        <v>0</v>
      </c>
      <c r="C44" s="10"/>
      <c r="D44" s="3">
        <f t="shared" si="4"/>
        <v>0</v>
      </c>
      <c r="E44" s="10"/>
      <c r="F44" s="3">
        <f t="shared" si="0"/>
        <v>0</v>
      </c>
      <c r="G44" s="9"/>
      <c r="H44" s="3">
        <f t="shared" si="1"/>
        <v>0</v>
      </c>
      <c r="I44" s="5"/>
      <c r="J44" s="3">
        <f t="shared" si="2"/>
        <v>0</v>
      </c>
      <c r="K44" s="5"/>
      <c r="L44">
        <v>10</v>
      </c>
    </row>
    <row r="45" spans="1:12" ht="15.75" thickBot="1" x14ac:dyDescent="0.3">
      <c r="A45" s="3"/>
      <c r="B45" s="8"/>
      <c r="C45" s="10" t="s">
        <v>113</v>
      </c>
      <c r="D45" s="8"/>
      <c r="E45" s="10"/>
      <c r="F45" s="9"/>
      <c r="G45" s="9"/>
      <c r="H45" s="3"/>
      <c r="I45" s="7"/>
      <c r="K45" s="7"/>
    </row>
    <row r="46" spans="1:12" ht="15.75" thickBot="1" x14ac:dyDescent="0.3">
      <c r="A46" s="3" t="s">
        <v>43</v>
      </c>
      <c r="B46" s="33"/>
      <c r="C46" s="33">
        <f>SUM(C2:C44)</f>
        <v>2510</v>
      </c>
      <c r="D46" s="33"/>
      <c r="E46" s="33">
        <f>SUM(E2:E44)</f>
        <v>2323</v>
      </c>
      <c r="F46" s="41"/>
      <c r="G46" s="16">
        <f>SUM(G2:G44)</f>
        <v>2320</v>
      </c>
      <c r="H46" s="33"/>
      <c r="I46" s="33">
        <f>SUM(I2:I44)</f>
        <v>2757</v>
      </c>
      <c r="J46" s="41"/>
      <c r="K46" s="33">
        <f>SUM(K2:K44)</f>
        <v>2375</v>
      </c>
    </row>
    <row r="47" spans="1:12" ht="15.75" thickBot="1" x14ac:dyDescent="0.3">
      <c r="A47" s="3" t="s">
        <v>44</v>
      </c>
      <c r="B47" s="34" cm="1">
        <f t="array" ref="B47">SUM(B2:B44*$L$2:$L$44)</f>
        <v>0</v>
      </c>
      <c r="C47" s="34"/>
      <c r="D47" s="34" cm="1">
        <f t="array" ref="D47">SUM(D2:D44*$L$2:$L$44)</f>
        <v>0</v>
      </c>
      <c r="E47" s="34"/>
      <c r="F47" s="34" cm="1">
        <f t="array" ref="F47">SUM(F2:F44*$L$2:$L$44)</f>
        <v>-25</v>
      </c>
      <c r="G47" s="34"/>
      <c r="H47" s="34" cm="1">
        <f t="array" ref="H47">SUM(H2:H44*$L$2:$L$44)</f>
        <v>25</v>
      </c>
      <c r="I47" s="34"/>
      <c r="J47" s="34" cm="1">
        <f t="array" ref="J47">SUM(J2:J44*$L$2:$L$44)</f>
        <v>0</v>
      </c>
      <c r="K47" s="34"/>
    </row>
    <row r="48" spans="1:12" ht="15.75" thickBot="1" x14ac:dyDescent="0.3">
      <c r="A48" s="3" t="s">
        <v>45</v>
      </c>
      <c r="B48" s="35">
        <f>COUNTIF((B2:B44), "=4")</f>
        <v>2</v>
      </c>
      <c r="C48" s="35"/>
      <c r="D48" s="35">
        <f>COUNTIF((D2:D44), "=4")</f>
        <v>2</v>
      </c>
      <c r="E48" s="35"/>
      <c r="F48" s="35">
        <f>COUNTIF((F2:F44), "=4")</f>
        <v>1</v>
      </c>
      <c r="G48" s="35"/>
      <c r="H48" s="35">
        <f>COUNTIF((H2:H44), "=4")</f>
        <v>3</v>
      </c>
      <c r="I48" s="35"/>
      <c r="J48" s="35">
        <f>COUNTIF((J2:J44), "=4")</f>
        <v>2</v>
      </c>
      <c r="K48" s="35"/>
    </row>
  </sheetData>
  <conditionalFormatting sqref="B2:K44">
    <cfRule type="expression" dxfId="0" priority="6">
      <formula>B2=MAX($B2:$K2)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D33E3-3638-4B11-B73A-E6A6B7F08582}">
  <sheetPr codeName="Sheet3">
    <tabColor rgb="FFFFFF00"/>
  </sheetPr>
  <dimension ref="A1:T48"/>
  <sheetViews>
    <sheetView zoomScale="105" zoomScaleNormal="80" workbookViewId="0">
      <selection activeCell="P12" sqref="P12"/>
    </sheetView>
  </sheetViews>
  <sheetFormatPr defaultRowHeight="15" x14ac:dyDescent="0.25"/>
  <cols>
    <col min="1" max="1" width="30.5703125" bestFit="1" customWidth="1"/>
  </cols>
  <sheetData>
    <row r="1" spans="1:20" ht="15.75" thickBot="1" x14ac:dyDescent="0.3">
      <c r="B1" s="46" t="s">
        <v>0</v>
      </c>
      <c r="C1" s="47"/>
      <c r="D1" s="48"/>
      <c r="E1" s="46" t="s">
        <v>1</v>
      </c>
      <c r="F1" s="47"/>
      <c r="G1" s="48"/>
      <c r="H1" s="46" t="s">
        <v>2</v>
      </c>
      <c r="I1" s="47"/>
      <c r="J1" s="48"/>
      <c r="K1" s="46" t="s">
        <v>3</v>
      </c>
      <c r="L1" s="47"/>
      <c r="M1" s="48"/>
      <c r="N1" s="46" t="s">
        <v>4</v>
      </c>
      <c r="O1" s="47"/>
      <c r="P1" s="48"/>
      <c r="S1" t="s">
        <v>46</v>
      </c>
      <c r="T1" t="s">
        <v>47</v>
      </c>
    </row>
    <row r="2" spans="1:20" ht="15.75" thickBot="1" x14ac:dyDescent="0.3">
      <c r="B2" s="8" t="s">
        <v>48</v>
      </c>
      <c r="C2" s="9" t="s">
        <v>46</v>
      </c>
      <c r="D2" s="10" t="s">
        <v>47</v>
      </c>
      <c r="E2" s="8" t="s">
        <v>48</v>
      </c>
      <c r="F2" s="9" t="s">
        <v>46</v>
      </c>
      <c r="G2" s="10" t="s">
        <v>47</v>
      </c>
      <c r="H2" s="8" t="s">
        <v>48</v>
      </c>
      <c r="I2" s="9" t="s">
        <v>46</v>
      </c>
      <c r="J2" s="10" t="s">
        <v>47</v>
      </c>
      <c r="K2" s="8" t="s">
        <v>48</v>
      </c>
      <c r="L2" s="9" t="s">
        <v>46</v>
      </c>
      <c r="M2" s="10" t="s">
        <v>47</v>
      </c>
      <c r="N2" s="8" t="s">
        <v>48</v>
      </c>
      <c r="O2" s="9" t="s">
        <v>46</v>
      </c>
      <c r="P2" s="10" t="s">
        <v>47</v>
      </c>
      <c r="Q2" t="s">
        <v>49</v>
      </c>
    </row>
    <row r="3" spans="1:20" ht="15.75" thickBot="1" x14ac:dyDescent="0.3">
      <c r="A3" s="8" t="s">
        <v>6</v>
      </c>
      <c r="B3" s="3" t="s">
        <v>107</v>
      </c>
      <c r="C3" s="4">
        <v>6</v>
      </c>
      <c r="D3" s="5">
        <f>_xlfn.IFNA(VLOOKUP(C3, $S$3:$T$9, 2)*$Q3, 0)</f>
        <v>10</v>
      </c>
      <c r="E3" s="3" t="s">
        <v>50</v>
      </c>
      <c r="F3" s="4">
        <v>7</v>
      </c>
      <c r="G3" s="5">
        <f>_xlfn.IFNA(VLOOKUP(F3, $S$3:$T$9, 2)*$Q3, 0)</f>
        <v>10</v>
      </c>
      <c r="H3" s="3" t="s">
        <v>52</v>
      </c>
      <c r="I3" s="4">
        <v>1</v>
      </c>
      <c r="J3" s="5">
        <f>_xlfn.IFNA(VLOOKUP(I3, $S$3:$T$9, 2)*$Q3, 0)</f>
        <v>25</v>
      </c>
      <c r="K3" s="3" t="s">
        <v>53</v>
      </c>
      <c r="L3" s="4">
        <v>3</v>
      </c>
      <c r="M3" s="5">
        <f>_xlfn.IFNA(VLOOKUP(L3, $S$3:$T$9, 2)*$Q3, 0)</f>
        <v>15</v>
      </c>
      <c r="N3" s="3" t="s">
        <v>101</v>
      </c>
      <c r="O3" s="4">
        <v>45</v>
      </c>
      <c r="P3" s="5">
        <f>_xlfn.IFNA(VLOOKUP(O3, $S$3:$T$9, 2)*$Q3, 0)</f>
        <v>5</v>
      </c>
      <c r="Q3">
        <v>1</v>
      </c>
      <c r="S3">
        <v>1</v>
      </c>
      <c r="T3">
        <v>25</v>
      </c>
    </row>
    <row r="4" spans="1:20" ht="15.75" thickBot="1" x14ac:dyDescent="0.3">
      <c r="A4" s="27" t="s">
        <v>7</v>
      </c>
      <c r="B4" s="3" t="s">
        <v>138</v>
      </c>
      <c r="C4" s="4" t="s">
        <v>51</v>
      </c>
      <c r="D4" s="5">
        <f t="shared" ref="D4:D44" si="0">_xlfn.IFNA(VLOOKUP(C4, $S$3:$T$9, 2)*$Q4, 0)</f>
        <v>-2</v>
      </c>
      <c r="E4" s="3" t="s">
        <v>123</v>
      </c>
      <c r="F4" s="4">
        <v>2</v>
      </c>
      <c r="G4" s="5">
        <f t="shared" ref="G4:G44" si="1">_xlfn.IFNA(VLOOKUP(F4, $S$3:$T$9, 2)*$Q4, 0)</f>
        <v>15</v>
      </c>
      <c r="H4" s="3" t="s">
        <v>111</v>
      </c>
      <c r="I4" s="4">
        <v>25</v>
      </c>
      <c r="J4" s="5">
        <f t="shared" ref="J4:J44" si="2">_xlfn.IFNA(VLOOKUP(I4, $S$3:$T$9, 2)*$Q4, 0)</f>
        <v>5</v>
      </c>
      <c r="K4" s="3" t="s">
        <v>114</v>
      </c>
      <c r="L4" s="4">
        <v>28</v>
      </c>
      <c r="M4" s="5">
        <f t="shared" ref="M4:M44" si="3">_xlfn.IFNA(VLOOKUP(L4, $S$3:$T$9, 2)*$Q4, 0)</f>
        <v>5</v>
      </c>
      <c r="N4" s="3" t="s">
        <v>108</v>
      </c>
      <c r="O4" s="4">
        <v>28</v>
      </c>
      <c r="P4" s="5">
        <f t="shared" ref="P4:P43" si="4">_xlfn.IFNA(VLOOKUP(O4, $S$3:$T$9, 2)*$Q4, 0)</f>
        <v>5</v>
      </c>
      <c r="Q4">
        <v>1</v>
      </c>
      <c r="S4" s="38">
        <v>2</v>
      </c>
      <c r="T4">
        <v>15</v>
      </c>
    </row>
    <row r="5" spans="1:20" ht="15.75" thickBot="1" x14ac:dyDescent="0.3">
      <c r="A5" s="27" t="s">
        <v>8</v>
      </c>
      <c r="B5" s="3" t="s">
        <v>123</v>
      </c>
      <c r="C5" s="4">
        <v>15</v>
      </c>
      <c r="D5" s="5">
        <f t="shared" si="0"/>
        <v>7</v>
      </c>
      <c r="E5" s="3" t="s">
        <v>138</v>
      </c>
      <c r="F5" s="4" t="s">
        <v>51</v>
      </c>
      <c r="G5" s="5">
        <f t="shared" si="1"/>
        <v>-2</v>
      </c>
      <c r="H5" s="3" t="s">
        <v>140</v>
      </c>
      <c r="I5" s="4">
        <v>1</v>
      </c>
      <c r="J5" s="5">
        <f t="shared" si="2"/>
        <v>25</v>
      </c>
      <c r="K5" s="3" t="s">
        <v>142</v>
      </c>
      <c r="L5" s="4" t="s">
        <v>51</v>
      </c>
      <c r="M5" s="5">
        <f t="shared" si="3"/>
        <v>-2</v>
      </c>
      <c r="N5" s="3" t="s">
        <v>144</v>
      </c>
      <c r="O5" s="4">
        <v>8</v>
      </c>
      <c r="P5" s="5">
        <f t="shared" si="4"/>
        <v>10</v>
      </c>
      <c r="Q5">
        <v>1</v>
      </c>
      <c r="S5">
        <v>6</v>
      </c>
      <c r="T5">
        <v>10</v>
      </c>
    </row>
    <row r="6" spans="1:20" ht="15.75" thickBot="1" x14ac:dyDescent="0.3">
      <c r="A6" s="27" t="s">
        <v>9</v>
      </c>
      <c r="B6" s="3" t="s">
        <v>157</v>
      </c>
      <c r="C6" s="4">
        <v>51</v>
      </c>
      <c r="D6" s="5">
        <f t="shared" si="0"/>
        <v>2</v>
      </c>
      <c r="E6" s="3" t="s">
        <v>157</v>
      </c>
      <c r="F6" s="4">
        <v>51</v>
      </c>
      <c r="G6" s="5">
        <f t="shared" si="1"/>
        <v>2</v>
      </c>
      <c r="H6" s="3" t="s">
        <v>160</v>
      </c>
      <c r="I6" s="4">
        <v>6</v>
      </c>
      <c r="J6" s="5">
        <f t="shared" si="2"/>
        <v>10</v>
      </c>
      <c r="K6" s="3" t="s">
        <v>160</v>
      </c>
      <c r="L6" s="4">
        <v>6</v>
      </c>
      <c r="M6" s="5">
        <f t="shared" si="3"/>
        <v>10</v>
      </c>
      <c r="N6" s="3" t="s">
        <v>52</v>
      </c>
      <c r="O6" s="4">
        <v>19</v>
      </c>
      <c r="P6" s="5">
        <f t="shared" si="4"/>
        <v>7</v>
      </c>
      <c r="Q6">
        <v>1</v>
      </c>
      <c r="S6">
        <v>11</v>
      </c>
      <c r="T6">
        <v>7</v>
      </c>
    </row>
    <row r="7" spans="1:20" ht="15.75" thickBot="1" x14ac:dyDescent="0.3">
      <c r="A7" s="28" t="s">
        <v>11</v>
      </c>
      <c r="B7" s="3" t="s">
        <v>170</v>
      </c>
      <c r="C7" s="4">
        <v>59</v>
      </c>
      <c r="D7" s="5">
        <f t="shared" si="0"/>
        <v>2</v>
      </c>
      <c r="E7" s="3" t="s">
        <v>52</v>
      </c>
      <c r="F7" s="4" t="s">
        <v>51</v>
      </c>
      <c r="G7" s="5">
        <f t="shared" si="1"/>
        <v>-2</v>
      </c>
      <c r="H7" s="3" t="s">
        <v>123</v>
      </c>
      <c r="I7" s="4">
        <v>10</v>
      </c>
      <c r="J7" s="5">
        <f t="shared" si="2"/>
        <v>10</v>
      </c>
      <c r="K7" s="3" t="s">
        <v>123</v>
      </c>
      <c r="L7" s="4">
        <v>10</v>
      </c>
      <c r="M7" s="5">
        <f t="shared" si="3"/>
        <v>10</v>
      </c>
      <c r="N7" s="3" t="s">
        <v>105</v>
      </c>
      <c r="O7" s="4">
        <v>67</v>
      </c>
      <c r="P7" s="5">
        <f t="shared" si="4"/>
        <v>2</v>
      </c>
      <c r="Q7">
        <v>1</v>
      </c>
      <c r="S7">
        <v>21</v>
      </c>
      <c r="T7">
        <v>5</v>
      </c>
    </row>
    <row r="8" spans="1:20" ht="15.75" thickBot="1" x14ac:dyDescent="0.3">
      <c r="A8" s="27" t="s">
        <v>10</v>
      </c>
      <c r="B8" s="3" t="s">
        <v>138</v>
      </c>
      <c r="C8" s="4" t="s">
        <v>51</v>
      </c>
      <c r="D8" s="5">
        <f t="shared" si="0"/>
        <v>-2</v>
      </c>
      <c r="E8" s="3" t="s">
        <v>155</v>
      </c>
      <c r="F8" s="4">
        <v>5</v>
      </c>
      <c r="G8" s="5">
        <f t="shared" si="1"/>
        <v>15</v>
      </c>
      <c r="H8" s="3" t="s">
        <v>155</v>
      </c>
      <c r="I8" s="4">
        <v>5</v>
      </c>
      <c r="J8" s="5">
        <f t="shared" si="2"/>
        <v>15</v>
      </c>
      <c r="K8" s="3" t="s">
        <v>107</v>
      </c>
      <c r="L8" s="4">
        <v>20</v>
      </c>
      <c r="M8" s="5">
        <f t="shared" si="3"/>
        <v>7</v>
      </c>
      <c r="N8" s="3" t="s">
        <v>110</v>
      </c>
      <c r="O8" s="4">
        <v>20</v>
      </c>
      <c r="P8" s="5">
        <f t="shared" si="4"/>
        <v>7</v>
      </c>
      <c r="Q8">
        <v>1</v>
      </c>
      <c r="S8">
        <v>51</v>
      </c>
      <c r="T8">
        <v>2</v>
      </c>
    </row>
    <row r="9" spans="1:20" ht="15.75" thickBot="1" x14ac:dyDescent="0.3">
      <c r="A9" s="36" t="s">
        <v>13</v>
      </c>
      <c r="B9" s="3" t="s">
        <v>138</v>
      </c>
      <c r="C9" s="4" t="s">
        <v>51</v>
      </c>
      <c r="D9" s="5">
        <f t="shared" si="0"/>
        <v>-2</v>
      </c>
      <c r="E9" s="3" t="s">
        <v>192</v>
      </c>
      <c r="F9" s="4">
        <v>13</v>
      </c>
      <c r="G9" s="5">
        <f t="shared" si="1"/>
        <v>7</v>
      </c>
      <c r="H9" s="3" t="s">
        <v>192</v>
      </c>
      <c r="I9" s="4">
        <v>13</v>
      </c>
      <c r="J9" s="5">
        <f t="shared" si="2"/>
        <v>7</v>
      </c>
      <c r="K9" s="3" t="s">
        <v>192</v>
      </c>
      <c r="L9" s="4">
        <v>13</v>
      </c>
      <c r="M9" s="5">
        <f t="shared" si="3"/>
        <v>7</v>
      </c>
      <c r="N9" s="3" t="s">
        <v>138</v>
      </c>
      <c r="O9" s="4" t="s">
        <v>51</v>
      </c>
      <c r="P9" s="5">
        <f t="shared" si="4"/>
        <v>-2</v>
      </c>
      <c r="Q9">
        <v>1</v>
      </c>
      <c r="S9" s="38" t="s">
        <v>51</v>
      </c>
      <c r="T9">
        <v>-2</v>
      </c>
    </row>
    <row r="10" spans="1:20" ht="15.75" thickBot="1" x14ac:dyDescent="0.3">
      <c r="A10" s="27" t="s">
        <v>15</v>
      </c>
      <c r="B10" s="8" t="s">
        <v>169</v>
      </c>
      <c r="C10" s="9">
        <v>33</v>
      </c>
      <c r="D10" s="5">
        <f t="shared" si="0"/>
        <v>5</v>
      </c>
      <c r="E10" s="8" t="s">
        <v>109</v>
      </c>
      <c r="F10" s="9">
        <v>14</v>
      </c>
      <c r="G10" s="5">
        <f t="shared" si="1"/>
        <v>7</v>
      </c>
      <c r="H10" s="8" t="s">
        <v>199</v>
      </c>
      <c r="I10" s="9">
        <v>3</v>
      </c>
      <c r="J10" s="5">
        <f t="shared" si="2"/>
        <v>15</v>
      </c>
      <c r="K10" s="8" t="s">
        <v>109</v>
      </c>
      <c r="L10" s="9">
        <v>14</v>
      </c>
      <c r="M10" s="5">
        <f t="shared" si="3"/>
        <v>7</v>
      </c>
      <c r="N10" s="3" t="s">
        <v>213</v>
      </c>
      <c r="O10" s="4">
        <v>47</v>
      </c>
      <c r="P10" s="5">
        <f t="shared" si="4"/>
        <v>5</v>
      </c>
      <c r="Q10">
        <v>1</v>
      </c>
    </row>
    <row r="11" spans="1:20" ht="15.75" thickBot="1" x14ac:dyDescent="0.3">
      <c r="A11" s="27" t="s">
        <v>16</v>
      </c>
      <c r="B11" s="8" t="s">
        <v>211</v>
      </c>
      <c r="C11" s="9">
        <v>13</v>
      </c>
      <c r="D11" s="5">
        <f t="shared" si="0"/>
        <v>7</v>
      </c>
      <c r="E11" s="8" t="s">
        <v>204</v>
      </c>
      <c r="F11" s="9" t="s">
        <v>51</v>
      </c>
      <c r="G11" s="5">
        <f t="shared" si="1"/>
        <v>-2</v>
      </c>
      <c r="H11" s="8" t="s">
        <v>211</v>
      </c>
      <c r="I11" s="9">
        <v>13</v>
      </c>
      <c r="J11" s="5">
        <f t="shared" si="2"/>
        <v>7</v>
      </c>
      <c r="K11" s="8" t="s">
        <v>211</v>
      </c>
      <c r="L11" s="9">
        <v>13</v>
      </c>
      <c r="M11" s="5">
        <f t="shared" si="3"/>
        <v>7</v>
      </c>
      <c r="N11" s="3" t="s">
        <v>191</v>
      </c>
      <c r="O11" s="4">
        <v>70</v>
      </c>
      <c r="P11" s="5">
        <f t="shared" si="4"/>
        <v>2</v>
      </c>
      <c r="Q11">
        <v>1</v>
      </c>
    </row>
    <row r="12" spans="1:20" ht="15.75" thickBot="1" x14ac:dyDescent="0.3">
      <c r="A12" s="27" t="s">
        <v>17</v>
      </c>
      <c r="B12" s="8" t="s">
        <v>206</v>
      </c>
      <c r="C12" s="9">
        <v>6</v>
      </c>
      <c r="D12" s="5">
        <f t="shared" si="0"/>
        <v>10</v>
      </c>
      <c r="E12" s="8" t="s">
        <v>216</v>
      </c>
      <c r="F12" s="9">
        <v>11</v>
      </c>
      <c r="G12" s="5">
        <f t="shared" si="1"/>
        <v>7</v>
      </c>
      <c r="H12" s="8" t="s">
        <v>141</v>
      </c>
      <c r="I12" s="9">
        <v>11</v>
      </c>
      <c r="J12" s="5">
        <f t="shared" si="2"/>
        <v>7</v>
      </c>
      <c r="K12" s="8" t="s">
        <v>212</v>
      </c>
      <c r="L12" s="9">
        <v>52</v>
      </c>
      <c r="M12" s="5">
        <f t="shared" si="3"/>
        <v>2</v>
      </c>
      <c r="N12" s="3" t="s">
        <v>160</v>
      </c>
      <c r="O12" s="4">
        <v>21</v>
      </c>
      <c r="P12" s="5">
        <f t="shared" si="4"/>
        <v>5</v>
      </c>
      <c r="Q12">
        <v>1</v>
      </c>
    </row>
    <row r="13" spans="1:20" ht="15.75" thickBot="1" x14ac:dyDescent="0.3">
      <c r="A13" s="27" t="s">
        <v>18</v>
      </c>
      <c r="B13" s="8"/>
      <c r="C13" s="9"/>
      <c r="D13" s="5">
        <f t="shared" si="0"/>
        <v>0</v>
      </c>
      <c r="E13" s="8"/>
      <c r="F13" s="9"/>
      <c r="G13" s="5">
        <f t="shared" si="1"/>
        <v>0</v>
      </c>
      <c r="H13" s="8"/>
      <c r="I13" s="9"/>
      <c r="J13" s="5">
        <f t="shared" si="2"/>
        <v>0</v>
      </c>
      <c r="K13" s="8"/>
      <c r="L13" s="9"/>
      <c r="M13" s="5">
        <f t="shared" si="3"/>
        <v>0</v>
      </c>
      <c r="N13" s="3"/>
      <c r="O13" s="4"/>
      <c r="P13" s="5">
        <f t="shared" si="4"/>
        <v>0</v>
      </c>
      <c r="Q13">
        <v>1</v>
      </c>
    </row>
    <row r="14" spans="1:20" ht="15.75" thickBot="1" x14ac:dyDescent="0.3">
      <c r="A14" s="28" t="s">
        <v>19</v>
      </c>
      <c r="B14" s="8"/>
      <c r="C14" s="9"/>
      <c r="D14" s="5">
        <f t="shared" si="0"/>
        <v>0</v>
      </c>
      <c r="E14" s="8"/>
      <c r="F14" s="9"/>
      <c r="G14" s="5">
        <f t="shared" si="1"/>
        <v>0</v>
      </c>
      <c r="H14" s="8"/>
      <c r="I14" s="9"/>
      <c r="J14" s="5">
        <f t="shared" si="2"/>
        <v>0</v>
      </c>
      <c r="K14" s="8"/>
      <c r="L14" s="9"/>
      <c r="M14" s="5">
        <f t="shared" si="3"/>
        <v>0</v>
      </c>
      <c r="N14" s="3"/>
      <c r="O14" s="4"/>
      <c r="P14" s="5">
        <f t="shared" si="4"/>
        <v>0</v>
      </c>
      <c r="Q14">
        <v>1</v>
      </c>
    </row>
    <row r="15" spans="1:20" ht="15.75" thickBot="1" x14ac:dyDescent="0.3">
      <c r="A15" s="30" t="s">
        <v>20</v>
      </c>
      <c r="B15" s="8"/>
      <c r="C15" s="9"/>
      <c r="D15" s="5">
        <f t="shared" si="0"/>
        <v>0</v>
      </c>
      <c r="E15" s="8"/>
      <c r="F15" s="9"/>
      <c r="G15" s="5">
        <f t="shared" si="1"/>
        <v>0</v>
      </c>
      <c r="H15" s="8"/>
      <c r="I15" s="9"/>
      <c r="J15" s="5">
        <f t="shared" si="2"/>
        <v>0</v>
      </c>
      <c r="K15" s="8"/>
      <c r="L15" s="9"/>
      <c r="M15" s="5">
        <f t="shared" si="3"/>
        <v>0</v>
      </c>
      <c r="N15" s="3"/>
      <c r="O15" s="4"/>
      <c r="P15" s="5">
        <f t="shared" si="4"/>
        <v>0</v>
      </c>
      <c r="Q15">
        <v>1</v>
      </c>
    </row>
    <row r="16" spans="1:20" ht="15.75" thickBot="1" x14ac:dyDescent="0.3">
      <c r="A16" s="27" t="s">
        <v>21</v>
      </c>
      <c r="B16" s="8"/>
      <c r="C16" s="9"/>
      <c r="D16" s="5">
        <f t="shared" si="0"/>
        <v>0</v>
      </c>
      <c r="E16" s="8"/>
      <c r="F16" s="9"/>
      <c r="G16" s="5">
        <f t="shared" si="1"/>
        <v>0</v>
      </c>
      <c r="H16" s="8"/>
      <c r="I16" s="9"/>
      <c r="J16" s="5">
        <f t="shared" si="2"/>
        <v>0</v>
      </c>
      <c r="K16" s="8"/>
      <c r="L16" s="9"/>
      <c r="M16" s="5">
        <f t="shared" si="3"/>
        <v>0</v>
      </c>
      <c r="N16" s="3"/>
      <c r="O16" s="4"/>
      <c r="P16" s="5">
        <f t="shared" si="4"/>
        <v>0</v>
      </c>
      <c r="Q16">
        <v>1</v>
      </c>
    </row>
    <row r="17" spans="1:17" ht="15.75" thickBot="1" x14ac:dyDescent="0.3">
      <c r="A17" s="27" t="s">
        <v>28</v>
      </c>
      <c r="B17" s="8"/>
      <c r="C17" s="9"/>
      <c r="D17" s="5">
        <f t="shared" si="0"/>
        <v>0</v>
      </c>
      <c r="E17" s="8"/>
      <c r="F17" s="9"/>
      <c r="G17" s="5">
        <f t="shared" si="1"/>
        <v>0</v>
      </c>
      <c r="H17" s="8"/>
      <c r="I17" s="9"/>
      <c r="J17" s="5">
        <f t="shared" si="2"/>
        <v>0</v>
      </c>
      <c r="K17" s="8"/>
      <c r="L17" s="9"/>
      <c r="M17" s="5">
        <f t="shared" si="3"/>
        <v>0</v>
      </c>
      <c r="N17" s="3"/>
      <c r="O17" s="4"/>
      <c r="P17" s="5">
        <f t="shared" si="4"/>
        <v>0</v>
      </c>
      <c r="Q17">
        <v>1</v>
      </c>
    </row>
    <row r="18" spans="1:17" ht="15.75" thickBot="1" x14ac:dyDescent="0.3">
      <c r="A18" s="27" t="s">
        <v>117</v>
      </c>
      <c r="B18" s="8"/>
      <c r="C18" s="9"/>
      <c r="D18" s="5">
        <f t="shared" si="0"/>
        <v>0</v>
      </c>
      <c r="E18" s="8"/>
      <c r="F18" s="9"/>
      <c r="G18" s="5">
        <f t="shared" si="1"/>
        <v>0</v>
      </c>
      <c r="H18" s="8"/>
      <c r="I18" s="9"/>
      <c r="J18" s="5">
        <f t="shared" si="2"/>
        <v>0</v>
      </c>
      <c r="K18" s="8"/>
      <c r="L18" s="9"/>
      <c r="M18" s="5">
        <f t="shared" si="3"/>
        <v>0</v>
      </c>
      <c r="N18" s="3"/>
      <c r="O18" s="4"/>
      <c r="P18" s="5">
        <f t="shared" si="4"/>
        <v>0</v>
      </c>
      <c r="Q18">
        <v>1</v>
      </c>
    </row>
    <row r="19" spans="1:17" ht="15.75" thickBot="1" x14ac:dyDescent="0.3">
      <c r="A19" s="27" t="s">
        <v>22</v>
      </c>
      <c r="B19" s="8"/>
      <c r="C19" s="9"/>
      <c r="D19" s="5">
        <f t="shared" si="0"/>
        <v>0</v>
      </c>
      <c r="E19" s="8"/>
      <c r="F19" s="9"/>
      <c r="G19" s="5">
        <f t="shared" si="1"/>
        <v>0</v>
      </c>
      <c r="H19" s="8"/>
      <c r="I19" s="9"/>
      <c r="J19" s="5">
        <f t="shared" si="2"/>
        <v>0</v>
      </c>
      <c r="K19" s="8"/>
      <c r="L19" s="9"/>
      <c r="M19" s="5">
        <f t="shared" si="3"/>
        <v>0</v>
      </c>
      <c r="N19" s="3"/>
      <c r="O19" s="4"/>
      <c r="P19" s="5">
        <f t="shared" si="4"/>
        <v>0</v>
      </c>
      <c r="Q19">
        <v>1</v>
      </c>
    </row>
    <row r="20" spans="1:17" ht="15.75" thickBot="1" x14ac:dyDescent="0.3">
      <c r="A20" s="30" t="s">
        <v>118</v>
      </c>
      <c r="B20" s="8"/>
      <c r="C20" s="9"/>
      <c r="D20" s="5">
        <f t="shared" si="0"/>
        <v>0</v>
      </c>
      <c r="E20" s="8"/>
      <c r="F20" s="9"/>
      <c r="G20" s="5">
        <f t="shared" si="1"/>
        <v>0</v>
      </c>
      <c r="H20" s="8"/>
      <c r="I20" s="9"/>
      <c r="J20" s="5">
        <f t="shared" si="2"/>
        <v>0</v>
      </c>
      <c r="K20" s="8"/>
      <c r="L20" s="9"/>
      <c r="M20" s="5">
        <f t="shared" si="3"/>
        <v>0</v>
      </c>
      <c r="N20" s="3"/>
      <c r="O20" s="4"/>
      <c r="P20" s="5">
        <f t="shared" si="4"/>
        <v>0</v>
      </c>
      <c r="Q20">
        <v>1</v>
      </c>
    </row>
    <row r="21" spans="1:17" ht="15.75" thickBot="1" x14ac:dyDescent="0.3">
      <c r="A21" s="27" t="s">
        <v>23</v>
      </c>
      <c r="B21" s="8"/>
      <c r="C21" s="9"/>
      <c r="D21" s="5">
        <f t="shared" si="0"/>
        <v>0</v>
      </c>
      <c r="E21" s="8"/>
      <c r="F21" s="9"/>
      <c r="G21" s="5">
        <f t="shared" si="1"/>
        <v>0</v>
      </c>
      <c r="H21" s="8"/>
      <c r="I21" s="9"/>
      <c r="J21" s="5">
        <f t="shared" si="2"/>
        <v>0</v>
      </c>
      <c r="K21" s="8"/>
      <c r="L21" s="9"/>
      <c r="M21" s="5">
        <f t="shared" si="3"/>
        <v>0</v>
      </c>
      <c r="N21" s="3"/>
      <c r="O21" s="4"/>
      <c r="P21" s="5">
        <f t="shared" si="4"/>
        <v>0</v>
      </c>
      <c r="Q21">
        <v>1</v>
      </c>
    </row>
    <row r="22" spans="1:17" ht="15.75" thickBot="1" x14ac:dyDescent="0.3">
      <c r="A22" s="27" t="s">
        <v>12</v>
      </c>
      <c r="B22" s="8"/>
      <c r="C22" s="9"/>
      <c r="D22" s="5">
        <f t="shared" si="0"/>
        <v>0</v>
      </c>
      <c r="E22" s="8"/>
      <c r="F22" s="9"/>
      <c r="G22" s="5">
        <f t="shared" si="1"/>
        <v>0</v>
      </c>
      <c r="H22" s="8"/>
      <c r="I22" s="9"/>
      <c r="J22" s="5">
        <f t="shared" si="2"/>
        <v>0</v>
      </c>
      <c r="K22" s="8"/>
      <c r="L22" s="9"/>
      <c r="M22" s="5">
        <f t="shared" si="3"/>
        <v>0</v>
      </c>
      <c r="N22" s="3"/>
      <c r="O22" s="4"/>
      <c r="P22" s="5">
        <f t="shared" si="4"/>
        <v>0</v>
      </c>
      <c r="Q22">
        <v>1</v>
      </c>
    </row>
    <row r="23" spans="1:17" ht="15.75" thickBot="1" x14ac:dyDescent="0.3">
      <c r="A23" s="27" t="s">
        <v>24</v>
      </c>
      <c r="B23" s="8"/>
      <c r="C23" s="9"/>
      <c r="D23" s="5">
        <f t="shared" si="0"/>
        <v>0</v>
      </c>
      <c r="E23" s="8"/>
      <c r="F23" s="9"/>
      <c r="G23" s="5">
        <f t="shared" si="1"/>
        <v>0</v>
      </c>
      <c r="H23" s="8"/>
      <c r="I23" s="9"/>
      <c r="J23" s="5">
        <f t="shared" si="2"/>
        <v>0</v>
      </c>
      <c r="K23" s="8"/>
      <c r="L23" s="9"/>
      <c r="M23" s="5">
        <f t="shared" si="3"/>
        <v>0</v>
      </c>
      <c r="N23" s="3"/>
      <c r="O23" s="4"/>
      <c r="P23" s="5">
        <f t="shared" si="4"/>
        <v>0</v>
      </c>
      <c r="Q23">
        <v>2</v>
      </c>
    </row>
    <row r="24" spans="1:17" ht="15.75" thickBot="1" x14ac:dyDescent="0.3">
      <c r="A24" s="31" t="s">
        <v>25</v>
      </c>
      <c r="B24" s="8"/>
      <c r="C24" s="9"/>
      <c r="D24" s="5">
        <f t="shared" si="0"/>
        <v>0</v>
      </c>
      <c r="E24" s="8"/>
      <c r="F24" s="9"/>
      <c r="G24" s="5">
        <f t="shared" si="1"/>
        <v>0</v>
      </c>
      <c r="H24" s="8"/>
      <c r="I24" s="9"/>
      <c r="J24" s="5">
        <f t="shared" si="2"/>
        <v>0</v>
      </c>
      <c r="K24" s="8"/>
      <c r="L24" s="9"/>
      <c r="M24" s="5">
        <f t="shared" si="3"/>
        <v>0</v>
      </c>
      <c r="N24" s="3"/>
      <c r="O24" s="4"/>
      <c r="P24" s="5">
        <f t="shared" si="4"/>
        <v>0</v>
      </c>
      <c r="Q24">
        <v>1</v>
      </c>
    </row>
    <row r="25" spans="1:17" ht="15.75" thickBot="1" x14ac:dyDescent="0.3">
      <c r="A25" s="27" t="s">
        <v>26</v>
      </c>
      <c r="B25" s="8"/>
      <c r="C25" s="9"/>
      <c r="D25" s="5">
        <f t="shared" si="0"/>
        <v>0</v>
      </c>
      <c r="E25" s="8"/>
      <c r="F25" s="9"/>
      <c r="G25" s="5">
        <f t="shared" si="1"/>
        <v>0</v>
      </c>
      <c r="H25" s="8"/>
      <c r="I25" s="9"/>
      <c r="J25" s="5">
        <f t="shared" si="2"/>
        <v>0</v>
      </c>
      <c r="K25" s="8"/>
      <c r="L25" s="9"/>
      <c r="M25" s="5">
        <f t="shared" si="3"/>
        <v>0</v>
      </c>
      <c r="N25" s="3"/>
      <c r="O25" s="4"/>
      <c r="P25" s="5">
        <f t="shared" si="4"/>
        <v>0</v>
      </c>
      <c r="Q25">
        <v>1</v>
      </c>
    </row>
    <row r="26" spans="1:17" ht="15.75" thickBot="1" x14ac:dyDescent="0.3">
      <c r="A26" s="27" t="s">
        <v>27</v>
      </c>
      <c r="B26" s="8"/>
      <c r="C26" s="9"/>
      <c r="D26" s="5">
        <f t="shared" si="0"/>
        <v>0</v>
      </c>
      <c r="E26" s="8"/>
      <c r="F26" s="9"/>
      <c r="G26" s="5">
        <f t="shared" si="1"/>
        <v>0</v>
      </c>
      <c r="H26" s="8"/>
      <c r="I26" s="9"/>
      <c r="J26" s="5">
        <f t="shared" si="2"/>
        <v>0</v>
      </c>
      <c r="K26" s="8"/>
      <c r="L26" s="9"/>
      <c r="M26" s="5">
        <f t="shared" si="3"/>
        <v>0</v>
      </c>
      <c r="N26" s="3"/>
      <c r="O26" s="4"/>
      <c r="P26" s="5">
        <f t="shared" si="4"/>
        <v>0</v>
      </c>
      <c r="Q26">
        <v>1</v>
      </c>
    </row>
    <row r="27" spans="1:17" ht="15.75" thickBot="1" x14ac:dyDescent="0.3">
      <c r="A27" s="27" t="s">
        <v>119</v>
      </c>
      <c r="B27" s="8"/>
      <c r="C27" s="9"/>
      <c r="D27" s="5">
        <f t="shared" si="0"/>
        <v>0</v>
      </c>
      <c r="E27" s="8"/>
      <c r="F27" s="9"/>
      <c r="G27" s="5">
        <f t="shared" si="1"/>
        <v>0</v>
      </c>
      <c r="H27" s="8"/>
      <c r="I27" s="9"/>
      <c r="J27" s="5">
        <f t="shared" si="2"/>
        <v>0</v>
      </c>
      <c r="K27" s="8"/>
      <c r="L27" s="9"/>
      <c r="M27" s="5">
        <f t="shared" si="3"/>
        <v>0</v>
      </c>
      <c r="N27" s="3"/>
      <c r="O27" s="4"/>
      <c r="P27" s="5">
        <f t="shared" si="4"/>
        <v>0</v>
      </c>
      <c r="Q27">
        <v>1</v>
      </c>
    </row>
    <row r="28" spans="1:17" ht="15.75" thickBot="1" x14ac:dyDescent="0.3">
      <c r="A28" s="27" t="s">
        <v>120</v>
      </c>
      <c r="B28" s="8"/>
      <c r="C28" s="9"/>
      <c r="D28" s="5">
        <f t="shared" si="0"/>
        <v>0</v>
      </c>
      <c r="E28" s="8"/>
      <c r="F28" s="9"/>
      <c r="G28" s="5">
        <f t="shared" si="1"/>
        <v>0</v>
      </c>
      <c r="H28" s="8"/>
      <c r="I28" s="9"/>
      <c r="J28" s="5">
        <f t="shared" si="2"/>
        <v>0</v>
      </c>
      <c r="K28" s="8"/>
      <c r="L28" s="9"/>
      <c r="M28" s="5">
        <f t="shared" si="3"/>
        <v>0</v>
      </c>
      <c r="N28" s="3"/>
      <c r="O28" s="4"/>
      <c r="P28" s="5">
        <f t="shared" si="4"/>
        <v>0</v>
      </c>
      <c r="Q28">
        <v>1</v>
      </c>
    </row>
    <row r="29" spans="1:17" ht="15.75" thickBot="1" x14ac:dyDescent="0.3">
      <c r="A29" s="31" t="s">
        <v>29</v>
      </c>
      <c r="B29" s="8"/>
      <c r="C29" s="9"/>
      <c r="D29" s="5">
        <f t="shared" si="0"/>
        <v>0</v>
      </c>
      <c r="E29" s="8"/>
      <c r="F29" s="9"/>
      <c r="G29" s="5">
        <f t="shared" si="1"/>
        <v>0</v>
      </c>
      <c r="H29" s="8"/>
      <c r="I29" s="9"/>
      <c r="J29" s="5">
        <f t="shared" si="2"/>
        <v>0</v>
      </c>
      <c r="K29" s="8"/>
      <c r="L29" s="9"/>
      <c r="M29" s="5">
        <f t="shared" si="3"/>
        <v>0</v>
      </c>
      <c r="N29" s="3"/>
      <c r="O29" s="4"/>
      <c r="P29" s="5">
        <f t="shared" si="4"/>
        <v>0</v>
      </c>
      <c r="Q29">
        <v>2</v>
      </c>
    </row>
    <row r="30" spans="1:17" ht="15.75" thickBot="1" x14ac:dyDescent="0.3">
      <c r="A30" s="27" t="s">
        <v>30</v>
      </c>
      <c r="B30" s="8"/>
      <c r="C30" s="9"/>
      <c r="D30" s="5">
        <f t="shared" si="0"/>
        <v>0</v>
      </c>
      <c r="E30" s="8"/>
      <c r="F30" s="9"/>
      <c r="G30" s="5">
        <f t="shared" si="1"/>
        <v>0</v>
      </c>
      <c r="H30" s="8"/>
      <c r="I30" s="9"/>
      <c r="J30" s="5">
        <f t="shared" si="2"/>
        <v>0</v>
      </c>
      <c r="K30" s="8"/>
      <c r="L30" s="9"/>
      <c r="M30" s="5">
        <f t="shared" si="3"/>
        <v>0</v>
      </c>
      <c r="N30" s="3"/>
      <c r="O30" s="4"/>
      <c r="P30" s="5">
        <f t="shared" si="4"/>
        <v>0</v>
      </c>
      <c r="Q30">
        <v>1</v>
      </c>
    </row>
    <row r="31" spans="1:17" ht="15.75" thickBot="1" x14ac:dyDescent="0.3">
      <c r="A31" s="27" t="s">
        <v>31</v>
      </c>
      <c r="B31" s="8"/>
      <c r="C31" s="9"/>
      <c r="D31" s="5">
        <f t="shared" si="0"/>
        <v>0</v>
      </c>
      <c r="E31" s="8"/>
      <c r="F31" s="9"/>
      <c r="G31" s="5">
        <f t="shared" si="1"/>
        <v>0</v>
      </c>
      <c r="H31" s="8"/>
      <c r="I31" s="9"/>
      <c r="J31" s="5">
        <f t="shared" si="2"/>
        <v>0</v>
      </c>
      <c r="K31" s="8"/>
      <c r="L31" s="9"/>
      <c r="M31" s="5">
        <f t="shared" si="3"/>
        <v>0</v>
      </c>
      <c r="N31" s="3"/>
      <c r="O31" s="4"/>
      <c r="P31" s="5">
        <f t="shared" si="4"/>
        <v>0</v>
      </c>
      <c r="Q31">
        <v>1</v>
      </c>
    </row>
    <row r="32" spans="1:17" ht="15.75" thickBot="1" x14ac:dyDescent="0.3">
      <c r="A32" s="30" t="s">
        <v>121</v>
      </c>
      <c r="B32" s="8"/>
      <c r="C32" s="9"/>
      <c r="D32" s="5">
        <f t="shared" si="0"/>
        <v>0</v>
      </c>
      <c r="E32" s="8"/>
      <c r="F32" s="9"/>
      <c r="G32" s="5">
        <f t="shared" si="1"/>
        <v>0</v>
      </c>
      <c r="H32" s="8"/>
      <c r="I32" s="9"/>
      <c r="J32" s="5">
        <f t="shared" si="2"/>
        <v>0</v>
      </c>
      <c r="K32" s="8"/>
      <c r="L32" s="9"/>
      <c r="M32" s="5">
        <f t="shared" si="3"/>
        <v>0</v>
      </c>
      <c r="N32" s="3"/>
      <c r="O32" s="4"/>
      <c r="P32" s="5">
        <f t="shared" si="4"/>
        <v>0</v>
      </c>
      <c r="Q32">
        <v>1</v>
      </c>
    </row>
    <row r="33" spans="1:17" ht="15.75" thickBot="1" x14ac:dyDescent="0.3">
      <c r="A33" s="31" t="s">
        <v>32</v>
      </c>
      <c r="B33" s="8"/>
      <c r="C33" s="9"/>
      <c r="D33" s="5">
        <f t="shared" si="0"/>
        <v>0</v>
      </c>
      <c r="E33" s="8"/>
      <c r="F33" s="9"/>
      <c r="G33" s="5">
        <f t="shared" si="1"/>
        <v>0</v>
      </c>
      <c r="H33" s="8"/>
      <c r="I33" s="9"/>
      <c r="J33" s="5">
        <f t="shared" si="2"/>
        <v>0</v>
      </c>
      <c r="K33" s="8"/>
      <c r="L33" s="9"/>
      <c r="M33" s="5">
        <f t="shared" si="3"/>
        <v>0</v>
      </c>
      <c r="N33" s="3"/>
      <c r="O33" s="4"/>
      <c r="P33" s="5">
        <f t="shared" si="4"/>
        <v>0</v>
      </c>
      <c r="Q33">
        <v>2</v>
      </c>
    </row>
    <row r="34" spans="1:17" ht="15.75" thickBot="1" x14ac:dyDescent="0.3">
      <c r="A34" s="27" t="s">
        <v>33</v>
      </c>
      <c r="B34" s="8"/>
      <c r="C34" s="9"/>
      <c r="D34" s="5">
        <f t="shared" si="0"/>
        <v>0</v>
      </c>
      <c r="E34" s="8"/>
      <c r="F34" s="9"/>
      <c r="G34" s="5">
        <f t="shared" si="1"/>
        <v>0</v>
      </c>
      <c r="H34" s="8"/>
      <c r="I34" s="9"/>
      <c r="J34" s="5">
        <f t="shared" si="2"/>
        <v>0</v>
      </c>
      <c r="K34" s="8"/>
      <c r="L34" s="9"/>
      <c r="M34" s="5">
        <f t="shared" si="3"/>
        <v>0</v>
      </c>
      <c r="N34" s="3"/>
      <c r="O34" s="4"/>
      <c r="P34" s="5">
        <f t="shared" si="4"/>
        <v>0</v>
      </c>
      <c r="Q34">
        <v>1</v>
      </c>
    </row>
    <row r="35" spans="1:17" ht="15.75" thickBot="1" x14ac:dyDescent="0.3">
      <c r="A35" s="27" t="s">
        <v>34</v>
      </c>
      <c r="B35" s="8"/>
      <c r="C35" s="9"/>
      <c r="D35" s="5">
        <f t="shared" si="0"/>
        <v>0</v>
      </c>
      <c r="E35" s="8"/>
      <c r="F35" s="9"/>
      <c r="G35" s="5">
        <f t="shared" si="1"/>
        <v>0</v>
      </c>
      <c r="H35" s="8"/>
      <c r="I35" s="9"/>
      <c r="J35" s="5">
        <f t="shared" si="2"/>
        <v>0</v>
      </c>
      <c r="K35" s="8"/>
      <c r="L35" s="9"/>
      <c r="M35" s="5">
        <f t="shared" si="3"/>
        <v>0</v>
      </c>
      <c r="N35" s="3"/>
      <c r="O35" s="4"/>
      <c r="P35" s="5">
        <f t="shared" si="4"/>
        <v>0</v>
      </c>
      <c r="Q35">
        <v>1</v>
      </c>
    </row>
    <row r="36" spans="1:17" ht="15.75" thickBot="1" x14ac:dyDescent="0.3">
      <c r="A36" s="27" t="s">
        <v>35</v>
      </c>
      <c r="B36" s="3"/>
      <c r="C36" s="4"/>
      <c r="D36" s="5">
        <f t="shared" si="0"/>
        <v>0</v>
      </c>
      <c r="E36" s="3"/>
      <c r="F36" s="4"/>
      <c r="G36" s="5">
        <f t="shared" si="1"/>
        <v>0</v>
      </c>
      <c r="H36" s="3"/>
      <c r="I36" s="4"/>
      <c r="J36" s="5">
        <f t="shared" si="2"/>
        <v>0</v>
      </c>
      <c r="K36" s="3"/>
      <c r="L36" s="4"/>
      <c r="M36" s="5">
        <f t="shared" si="3"/>
        <v>0</v>
      </c>
      <c r="N36" s="3"/>
      <c r="O36" s="4"/>
      <c r="P36" s="5">
        <f t="shared" si="4"/>
        <v>0</v>
      </c>
      <c r="Q36">
        <v>1</v>
      </c>
    </row>
    <row r="37" spans="1:17" ht="15.75" thickBot="1" x14ac:dyDescent="0.3">
      <c r="A37" s="28" t="s">
        <v>36</v>
      </c>
      <c r="B37" s="6"/>
      <c r="D37" s="5">
        <f t="shared" si="0"/>
        <v>0</v>
      </c>
      <c r="E37" s="6"/>
      <c r="G37" s="5">
        <f t="shared" si="1"/>
        <v>0</v>
      </c>
      <c r="H37" s="6"/>
      <c r="J37" s="5">
        <f t="shared" si="2"/>
        <v>0</v>
      </c>
      <c r="K37" s="3"/>
      <c r="L37" s="4"/>
      <c r="M37" s="5">
        <f t="shared" si="3"/>
        <v>0</v>
      </c>
      <c r="N37" s="3"/>
      <c r="O37" s="4"/>
      <c r="P37" s="5">
        <f t="shared" si="4"/>
        <v>0</v>
      </c>
      <c r="Q37">
        <v>1</v>
      </c>
    </row>
    <row r="38" spans="1:17" ht="15.75" thickBot="1" x14ac:dyDescent="0.3">
      <c r="A38" s="31" t="s">
        <v>37</v>
      </c>
      <c r="B38" s="8"/>
      <c r="C38" s="9"/>
      <c r="D38" s="5">
        <f t="shared" si="0"/>
        <v>0</v>
      </c>
      <c r="E38" s="8"/>
      <c r="F38" s="9"/>
      <c r="G38" s="5">
        <f t="shared" si="1"/>
        <v>0</v>
      </c>
      <c r="H38" s="8"/>
      <c r="I38" s="9"/>
      <c r="J38" s="5">
        <f t="shared" si="2"/>
        <v>0</v>
      </c>
      <c r="K38" s="3"/>
      <c r="L38" s="4"/>
      <c r="M38" s="5">
        <f t="shared" si="3"/>
        <v>0</v>
      </c>
      <c r="N38" s="3"/>
      <c r="O38" s="4"/>
      <c r="P38" s="5">
        <f t="shared" si="4"/>
        <v>0</v>
      </c>
      <c r="Q38">
        <v>2</v>
      </c>
    </row>
    <row r="39" spans="1:17" ht="15.75" thickBot="1" x14ac:dyDescent="0.3">
      <c r="A39" s="27" t="s">
        <v>38</v>
      </c>
      <c r="B39" s="8"/>
      <c r="C39" s="9"/>
      <c r="D39" s="5">
        <f t="shared" si="0"/>
        <v>0</v>
      </c>
      <c r="E39" s="8"/>
      <c r="F39" s="9"/>
      <c r="G39" s="5">
        <f t="shared" si="1"/>
        <v>0</v>
      </c>
      <c r="H39" s="8"/>
      <c r="I39" s="9"/>
      <c r="J39" s="5">
        <f t="shared" si="2"/>
        <v>0</v>
      </c>
      <c r="K39" s="3"/>
      <c r="L39" s="4"/>
      <c r="M39" s="5">
        <f t="shared" si="3"/>
        <v>0</v>
      </c>
      <c r="N39" s="3"/>
      <c r="O39" s="4"/>
      <c r="P39" s="5">
        <f t="shared" si="4"/>
        <v>0</v>
      </c>
      <c r="Q39">
        <v>1</v>
      </c>
    </row>
    <row r="40" spans="1:17" ht="15.75" thickBot="1" x14ac:dyDescent="0.3">
      <c r="A40" s="28" t="s">
        <v>122</v>
      </c>
      <c r="B40" s="8"/>
      <c r="C40" s="9"/>
      <c r="D40" s="5">
        <f t="shared" si="0"/>
        <v>0</v>
      </c>
      <c r="E40" s="8"/>
      <c r="F40" s="9"/>
      <c r="G40" s="5">
        <f t="shared" si="1"/>
        <v>0</v>
      </c>
      <c r="H40" s="8"/>
      <c r="I40" s="9"/>
      <c r="J40" s="5">
        <f t="shared" si="2"/>
        <v>0</v>
      </c>
      <c r="K40" s="3"/>
      <c r="L40" s="4"/>
      <c r="M40" s="5">
        <f t="shared" si="3"/>
        <v>0</v>
      </c>
      <c r="N40" s="3"/>
      <c r="O40" s="4"/>
      <c r="P40" s="5">
        <f t="shared" si="4"/>
        <v>0</v>
      </c>
      <c r="Q40">
        <v>1</v>
      </c>
    </row>
    <row r="41" spans="1:17" ht="15.75" thickBot="1" x14ac:dyDescent="0.3">
      <c r="A41" s="27" t="s">
        <v>39</v>
      </c>
      <c r="B41" s="8"/>
      <c r="C41" s="9"/>
      <c r="D41" s="5">
        <f t="shared" si="0"/>
        <v>0</v>
      </c>
      <c r="E41" s="8"/>
      <c r="F41" s="9"/>
      <c r="G41" s="5">
        <f t="shared" si="1"/>
        <v>0</v>
      </c>
      <c r="H41" s="8"/>
      <c r="I41" s="9"/>
      <c r="J41" s="5">
        <f t="shared" si="2"/>
        <v>0</v>
      </c>
      <c r="K41" s="3"/>
      <c r="L41" s="4"/>
      <c r="M41" s="5">
        <f t="shared" si="3"/>
        <v>0</v>
      </c>
      <c r="N41" s="3"/>
      <c r="O41" s="4"/>
      <c r="P41" s="5">
        <f t="shared" si="4"/>
        <v>0</v>
      </c>
      <c r="Q41">
        <v>1</v>
      </c>
    </row>
    <row r="42" spans="1:17" ht="15.75" thickBot="1" x14ac:dyDescent="0.3">
      <c r="A42" s="30" t="s">
        <v>40</v>
      </c>
      <c r="B42" s="8"/>
      <c r="C42" s="9"/>
      <c r="D42" s="5">
        <f t="shared" si="0"/>
        <v>0</v>
      </c>
      <c r="E42" s="8"/>
      <c r="F42" s="9"/>
      <c r="G42" s="5">
        <f t="shared" si="1"/>
        <v>0</v>
      </c>
      <c r="H42" s="8"/>
      <c r="I42" s="9"/>
      <c r="J42" s="5">
        <f t="shared" si="2"/>
        <v>0</v>
      </c>
      <c r="K42" s="3"/>
      <c r="L42" s="4"/>
      <c r="M42" s="5">
        <f t="shared" si="3"/>
        <v>0</v>
      </c>
      <c r="N42" s="3"/>
      <c r="O42" s="4"/>
      <c r="P42" s="5">
        <f t="shared" si="4"/>
        <v>0</v>
      </c>
      <c r="Q42">
        <v>1</v>
      </c>
    </row>
    <row r="43" spans="1:17" ht="15.75" thickBot="1" x14ac:dyDescent="0.3">
      <c r="A43" s="32" t="s">
        <v>41</v>
      </c>
      <c r="B43" s="8"/>
      <c r="C43" s="9"/>
      <c r="D43" s="5">
        <f t="shared" si="0"/>
        <v>0</v>
      </c>
      <c r="E43" s="8"/>
      <c r="F43" s="9"/>
      <c r="G43" s="5">
        <f t="shared" si="1"/>
        <v>0</v>
      </c>
      <c r="H43" s="8"/>
      <c r="I43" s="9"/>
      <c r="J43" s="5">
        <f t="shared" si="2"/>
        <v>0</v>
      </c>
      <c r="K43" s="3"/>
      <c r="L43" s="4"/>
      <c r="M43" s="5">
        <f t="shared" si="3"/>
        <v>0</v>
      </c>
      <c r="N43" s="3"/>
      <c r="O43" s="4"/>
      <c r="P43" s="5">
        <f t="shared" si="4"/>
        <v>0</v>
      </c>
      <c r="Q43">
        <v>1</v>
      </c>
    </row>
    <row r="44" spans="1:17" ht="15.75" thickBot="1" x14ac:dyDescent="0.3">
      <c r="A44" s="32" t="s">
        <v>42</v>
      </c>
      <c r="B44" s="3"/>
      <c r="C44" s="4"/>
      <c r="D44" s="5">
        <f t="shared" si="0"/>
        <v>0</v>
      </c>
      <c r="E44" s="3"/>
      <c r="F44" s="4"/>
      <c r="G44" s="5">
        <f t="shared" si="1"/>
        <v>0</v>
      </c>
      <c r="H44" s="3"/>
      <c r="I44" s="4"/>
      <c r="J44" s="5">
        <f t="shared" si="2"/>
        <v>0</v>
      </c>
      <c r="K44" s="3"/>
      <c r="L44" s="4"/>
      <c r="M44" s="5">
        <f t="shared" si="3"/>
        <v>0</v>
      </c>
      <c r="N44" s="3"/>
      <c r="O44" s="4"/>
      <c r="P44" s="5">
        <f>_xlfn.IFNA(VLOOKUP(O44, $S$3:$T$9, 2)*$Q44, 0)</f>
        <v>0</v>
      </c>
      <c r="Q44">
        <v>1</v>
      </c>
    </row>
    <row r="45" spans="1:17" ht="15.75" thickBot="1" x14ac:dyDescent="0.3">
      <c r="A45" s="3"/>
      <c r="B45" s="8"/>
      <c r="C45" s="9"/>
      <c r="D45" s="9"/>
      <c r="E45" s="9"/>
      <c r="F45" s="9"/>
      <c r="G45" s="9"/>
      <c r="H45" s="9"/>
      <c r="I45" s="9"/>
      <c r="J45" s="9"/>
      <c r="K45" s="4"/>
      <c r="P45" s="7"/>
    </row>
    <row r="46" spans="1:17" ht="15.75" thickBot="1" x14ac:dyDescent="0.3">
      <c r="A46" s="3" t="s">
        <v>43</v>
      </c>
      <c r="B46" s="33"/>
      <c r="C46" s="33"/>
      <c r="D46" s="33">
        <f>SUM(D3:D44)</f>
        <v>37</v>
      </c>
      <c r="E46" s="33"/>
      <c r="F46" s="33"/>
      <c r="G46" s="33">
        <f>SUM(G3:G44)</f>
        <v>57</v>
      </c>
      <c r="H46" s="33"/>
      <c r="I46" s="33"/>
      <c r="J46" s="33">
        <f>SUM(J3:J44)</f>
        <v>126</v>
      </c>
      <c r="K46" s="33"/>
      <c r="L46" s="33"/>
      <c r="M46" s="33">
        <f>SUM(M3:M44)</f>
        <v>68</v>
      </c>
      <c r="N46" s="33"/>
      <c r="O46" s="33"/>
      <c r="P46" s="33">
        <f>SUM(P3:P44)</f>
        <v>46</v>
      </c>
    </row>
    <row r="47" spans="1:17" x14ac:dyDescent="0.25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7" x14ac:dyDescent="0.25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</row>
  </sheetData>
  <mergeCells count="5">
    <mergeCell ref="B1:D1"/>
    <mergeCell ref="E1:G1"/>
    <mergeCell ref="H1:J1"/>
    <mergeCell ref="K1:M1"/>
    <mergeCell ref="N1:P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F6522-3097-4E2D-9E07-DD98DE7065EE}">
  <sheetPr codeName="Sheet1">
    <tabColor rgb="FFFFFF00"/>
  </sheetPr>
  <dimension ref="A1:F14"/>
  <sheetViews>
    <sheetView workbookViewId="0">
      <selection activeCell="E15" sqref="E15"/>
    </sheetView>
  </sheetViews>
  <sheetFormatPr defaultRowHeight="15" x14ac:dyDescent="0.25"/>
  <cols>
    <col min="1" max="1" width="10.85546875" bestFit="1" customWidth="1"/>
    <col min="2" max="6" width="19.5703125" customWidth="1"/>
  </cols>
  <sheetData>
    <row r="1" spans="1:6" x14ac:dyDescent="0.25">
      <c r="A1" s="2" t="s">
        <v>57</v>
      </c>
    </row>
    <row r="3" spans="1:6" x14ac:dyDescent="0.25">
      <c r="A3" s="2" t="s">
        <v>58</v>
      </c>
      <c r="B3" s="1"/>
    </row>
    <row r="4" spans="1:6" x14ac:dyDescent="0.25">
      <c r="A4" s="2" t="s">
        <v>59</v>
      </c>
      <c r="B4" s="1"/>
    </row>
    <row r="5" spans="1:6" ht="15.75" thickBot="1" x14ac:dyDescent="0.3"/>
    <row r="6" spans="1:6" ht="15.75" thickBot="1" x14ac:dyDescent="0.3">
      <c r="A6" s="23" t="s">
        <v>60</v>
      </c>
      <c r="B6" s="20">
        <v>1</v>
      </c>
      <c r="C6" s="21">
        <v>2</v>
      </c>
      <c r="D6" s="21">
        <v>3</v>
      </c>
      <c r="E6" s="21">
        <v>4</v>
      </c>
      <c r="F6" s="22">
        <v>5</v>
      </c>
    </row>
    <row r="7" spans="1:6" ht="15.75" thickBot="1" x14ac:dyDescent="0.3">
      <c r="A7" s="24" t="s">
        <v>0</v>
      </c>
      <c r="B7" s="3"/>
      <c r="C7" s="4"/>
      <c r="D7" s="4"/>
      <c r="E7" s="4"/>
      <c r="F7" s="5"/>
    </row>
    <row r="8" spans="1:6" ht="15.75" thickBot="1" x14ac:dyDescent="0.3">
      <c r="A8" s="24" t="s">
        <v>1</v>
      </c>
      <c r="B8" s="3"/>
      <c r="C8" s="4"/>
      <c r="D8" s="4"/>
      <c r="E8" s="4"/>
      <c r="F8" s="52"/>
    </row>
    <row r="9" spans="1:6" ht="15.75" thickBot="1" x14ac:dyDescent="0.3">
      <c r="A9" s="24" t="s">
        <v>2</v>
      </c>
      <c r="C9" s="4"/>
      <c r="D9" s="4"/>
      <c r="E9" s="4"/>
      <c r="F9" s="5"/>
    </row>
    <row r="10" spans="1:6" ht="15.75" thickBot="1" x14ac:dyDescent="0.3">
      <c r="A10" s="24" t="s">
        <v>3</v>
      </c>
      <c r="B10" s="3"/>
      <c r="C10" s="4"/>
      <c r="D10" s="4"/>
      <c r="E10" s="4"/>
      <c r="F10" s="5"/>
    </row>
    <row r="11" spans="1:6" ht="15.75" thickBot="1" x14ac:dyDescent="0.3">
      <c r="A11" s="25" t="s">
        <v>4</v>
      </c>
      <c r="B11" s="3"/>
      <c r="C11" s="4"/>
      <c r="D11" s="4"/>
      <c r="E11" s="4"/>
      <c r="F11" s="5"/>
    </row>
    <row r="14" spans="1:6" x14ac:dyDescent="0.25">
      <c r="A14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">
                <anchor moveWithCells="1">
                  <from>
                    <xdr:col>3</xdr:col>
                    <xdr:colOff>66675</xdr:colOff>
                    <xdr:row>0</xdr:row>
                    <xdr:rowOff>85725</xdr:rowOff>
                  </from>
                  <to>
                    <xdr:col>3</xdr:col>
                    <xdr:colOff>1076325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3F8B-7054-4C9F-93D7-4781F923292F}">
  <sheetPr codeName="Sheet6">
    <tabColor rgb="FFFFFF00"/>
  </sheetPr>
  <dimension ref="A1:AA61"/>
  <sheetViews>
    <sheetView zoomScale="70" zoomScaleNormal="70" workbookViewId="0">
      <selection activeCell="A57" sqref="A57"/>
    </sheetView>
  </sheetViews>
  <sheetFormatPr defaultRowHeight="15" outlineLevelRow="1" x14ac:dyDescent="0.25"/>
  <sheetData>
    <row r="1" spans="1:27" ht="15.75" thickBot="1" x14ac:dyDescent="0.3"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/>
      <c r="D2" s="4"/>
      <c r="E2" s="4"/>
      <c r="F2" s="4"/>
      <c r="G2" s="5"/>
      <c r="H2" s="3"/>
      <c r="I2" s="4"/>
      <c r="J2" s="4"/>
      <c r="K2" s="4"/>
      <c r="L2" s="5"/>
      <c r="M2" s="3"/>
      <c r="N2" s="4"/>
      <c r="O2" s="4"/>
      <c r="P2" s="4"/>
      <c r="Q2" s="5"/>
      <c r="R2" s="3"/>
      <c r="S2" s="4"/>
      <c r="T2" s="4"/>
      <c r="U2" s="4"/>
      <c r="V2" s="5"/>
      <c r="W2" s="3"/>
      <c r="X2" s="4"/>
      <c r="Y2" s="4"/>
      <c r="Z2" s="4"/>
      <c r="AA2" s="5"/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/>
      <c r="G5" s="7"/>
      <c r="H5" s="6"/>
      <c r="L5" s="7"/>
      <c r="M5" s="6"/>
      <c r="Q5" s="7"/>
      <c r="R5" s="6"/>
      <c r="V5" s="7"/>
      <c r="W5" s="6"/>
      <c r="AA5" s="7"/>
    </row>
    <row r="6" spans="1:27" hidden="1" outlineLevel="1" x14ac:dyDescent="0.25">
      <c r="A6" s="6" t="s">
        <v>64</v>
      </c>
      <c r="B6">
        <v>7</v>
      </c>
      <c r="C6" s="6"/>
      <c r="G6" s="7"/>
      <c r="H6" s="6"/>
      <c r="L6" s="7"/>
      <c r="M6" s="6"/>
      <c r="Q6" s="7"/>
      <c r="R6" s="6"/>
      <c r="V6" s="7"/>
      <c r="W6" s="6"/>
      <c r="AA6" s="7"/>
    </row>
    <row r="7" spans="1:27" hidden="1" outlineLevel="1" x14ac:dyDescent="0.25">
      <c r="A7" s="6" t="s">
        <v>65</v>
      </c>
      <c r="B7">
        <v>3</v>
      </c>
      <c r="C7" s="6"/>
      <c r="G7" s="7"/>
      <c r="H7" s="6"/>
      <c r="L7" s="7"/>
      <c r="M7" s="6"/>
      <c r="Q7" s="7"/>
      <c r="R7" s="6"/>
      <c r="V7" s="7"/>
      <c r="W7" s="6"/>
      <c r="AA7" s="7"/>
    </row>
    <row r="8" spans="1:27" hidden="1" outlineLevel="1" x14ac:dyDescent="0.25">
      <c r="A8" s="6" t="s">
        <v>66</v>
      </c>
      <c r="B8">
        <v>-2</v>
      </c>
      <c r="C8" s="6"/>
      <c r="G8" s="7"/>
      <c r="H8" s="6"/>
      <c r="L8" s="7"/>
      <c r="M8" s="6"/>
      <c r="Q8" s="7"/>
      <c r="R8" s="6"/>
      <c r="V8" s="7"/>
      <c r="W8" s="6"/>
      <c r="AA8" s="7"/>
    </row>
    <row r="9" spans="1:27" hidden="1" outlineLevel="1" x14ac:dyDescent="0.25">
      <c r="A9" s="6" t="s">
        <v>67</v>
      </c>
      <c r="B9">
        <v>-4</v>
      </c>
      <c r="C9" s="6"/>
      <c r="G9" s="7"/>
      <c r="H9" s="6"/>
      <c r="L9" s="7"/>
      <c r="M9" s="6"/>
      <c r="Q9" s="7"/>
      <c r="R9" s="6"/>
      <c r="V9" s="7"/>
      <c r="W9" s="6"/>
      <c r="AA9" s="7"/>
    </row>
    <row r="10" spans="1:27" ht="15.75" hidden="1" outlineLevel="1" thickBot="1" x14ac:dyDescent="0.3">
      <c r="A10" s="11" t="s">
        <v>68</v>
      </c>
      <c r="B10" s="12">
        <v>-6</v>
      </c>
      <c r="C10" s="11"/>
      <c r="D10" s="12"/>
      <c r="E10" s="12"/>
      <c r="F10" s="12"/>
      <c r="G10" s="13"/>
      <c r="H10" s="11"/>
      <c r="I10" s="12"/>
      <c r="J10" s="12"/>
      <c r="K10" s="12"/>
      <c r="L10" s="13"/>
      <c r="M10" s="11"/>
      <c r="N10" s="12"/>
      <c r="O10" s="12"/>
      <c r="P10" s="12"/>
      <c r="Q10" s="13"/>
      <c r="R10" s="11"/>
      <c r="S10" s="12"/>
      <c r="T10" s="12"/>
      <c r="U10" s="12"/>
      <c r="V10" s="13"/>
      <c r="W10" s="11"/>
      <c r="X10" s="12"/>
      <c r="Y10" s="12"/>
      <c r="Z10" s="12"/>
      <c r="AA10" s="13"/>
    </row>
    <row r="11" spans="1:27" ht="15.75" collapsed="1" thickBot="1" x14ac:dyDescent="0.3">
      <c r="C11" s="14">
        <f>(C5*$B5)+(C6*$B6)+(C7*$B7)+(C8*$B8)+(C9*$B9)+(C10*$B10)</f>
        <v>0</v>
      </c>
      <c r="D11" s="14">
        <f t="shared" ref="D11:AA11" si="0">(D5*$B5)+(D6*$B6)+(D7*$B7)+(D8*$B8)+(D9*$B9)+(D10*$B10)</f>
        <v>0</v>
      </c>
      <c r="E11" s="14">
        <f t="shared" si="0"/>
        <v>0</v>
      </c>
      <c r="F11" s="14">
        <f t="shared" si="0"/>
        <v>0</v>
      </c>
      <c r="G11" s="14">
        <f t="shared" si="0"/>
        <v>0</v>
      </c>
      <c r="H11" s="14">
        <f t="shared" si="0"/>
        <v>0</v>
      </c>
      <c r="I11" s="14">
        <f t="shared" si="0"/>
        <v>0</v>
      </c>
      <c r="J11" s="14">
        <f t="shared" si="0"/>
        <v>0</v>
      </c>
      <c r="K11" s="14">
        <f t="shared" si="0"/>
        <v>0</v>
      </c>
      <c r="L11" s="14">
        <f t="shared" si="0"/>
        <v>0</v>
      </c>
      <c r="M11" s="14">
        <f t="shared" si="0"/>
        <v>0</v>
      </c>
      <c r="N11" s="14">
        <f t="shared" si="0"/>
        <v>0</v>
      </c>
      <c r="O11" s="14">
        <f t="shared" si="0"/>
        <v>0</v>
      </c>
      <c r="P11" s="14">
        <f t="shared" si="0"/>
        <v>0</v>
      </c>
      <c r="Q11" s="15">
        <f t="shared" si="0"/>
        <v>0</v>
      </c>
      <c r="R11" s="14">
        <f t="shared" si="0"/>
        <v>0</v>
      </c>
      <c r="S11" s="14">
        <f t="shared" si="0"/>
        <v>0</v>
      </c>
      <c r="T11" s="14">
        <f t="shared" si="0"/>
        <v>0</v>
      </c>
      <c r="U11" s="14">
        <f t="shared" si="0"/>
        <v>0</v>
      </c>
      <c r="V11" s="15">
        <f t="shared" si="0"/>
        <v>0</v>
      </c>
      <c r="W11" s="14">
        <f t="shared" si="0"/>
        <v>0</v>
      </c>
      <c r="X11" s="14">
        <f t="shared" si="0"/>
        <v>0</v>
      </c>
      <c r="Y11" s="14">
        <f t="shared" si="0"/>
        <v>0</v>
      </c>
      <c r="Z11" s="14">
        <f t="shared" si="0"/>
        <v>0</v>
      </c>
      <c r="AA11" s="15">
        <f t="shared" si="0"/>
        <v>0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/>
      <c r="G13" s="7"/>
      <c r="H13" s="6"/>
      <c r="L13" s="7"/>
      <c r="M13" s="6"/>
      <c r="Q13" s="7"/>
      <c r="R13" s="6"/>
      <c r="V13" s="7"/>
      <c r="W13" s="6"/>
      <c r="AA13" s="7"/>
    </row>
    <row r="14" spans="1:27" hidden="1" outlineLevel="1" x14ac:dyDescent="0.25">
      <c r="A14" s="6" t="s">
        <v>64</v>
      </c>
      <c r="B14">
        <v>7</v>
      </c>
      <c r="C14" s="6"/>
      <c r="G14" s="7"/>
      <c r="H14" s="6"/>
      <c r="L14" s="7"/>
      <c r="M14" s="6"/>
      <c r="Q14" s="7"/>
      <c r="R14" s="6"/>
      <c r="V14" s="7"/>
      <c r="W14" s="6"/>
      <c r="AA14" s="7"/>
    </row>
    <row r="15" spans="1:27" hidden="1" outlineLevel="1" x14ac:dyDescent="0.25">
      <c r="A15" s="6" t="s">
        <v>65</v>
      </c>
      <c r="B15">
        <v>3</v>
      </c>
      <c r="C15" s="6"/>
      <c r="G15" s="7"/>
      <c r="H15" s="6"/>
      <c r="L15" s="7"/>
      <c r="M15" s="6"/>
      <c r="Q15" s="7"/>
      <c r="R15" s="6"/>
      <c r="V15" s="7"/>
      <c r="W15" s="6"/>
      <c r="AA15" s="7"/>
    </row>
    <row r="16" spans="1:27" hidden="1" outlineLevel="1" x14ac:dyDescent="0.25">
      <c r="A16" s="6" t="s">
        <v>66</v>
      </c>
      <c r="B16">
        <v>-2</v>
      </c>
      <c r="C16" s="6"/>
      <c r="G16" s="7"/>
      <c r="H16" s="6"/>
      <c r="L16" s="7"/>
      <c r="M16" s="6"/>
      <c r="Q16" s="7"/>
      <c r="R16" s="6"/>
      <c r="V16" s="7"/>
      <c r="W16" s="6"/>
      <c r="AA16" s="7"/>
    </row>
    <row r="17" spans="1:27" hidden="1" outlineLevel="1" x14ac:dyDescent="0.25">
      <c r="A17" s="6" t="s">
        <v>67</v>
      </c>
      <c r="B17">
        <v>-4</v>
      </c>
      <c r="C17" s="6"/>
      <c r="G17" s="7"/>
      <c r="H17" s="6"/>
      <c r="L17" s="7"/>
      <c r="M17" s="6"/>
      <c r="Q17" s="7"/>
      <c r="R17" s="6"/>
      <c r="V17" s="7"/>
      <c r="W17" s="6"/>
      <c r="AA17" s="7"/>
    </row>
    <row r="18" spans="1:27" ht="15.75" hidden="1" outlineLevel="1" thickBot="1" x14ac:dyDescent="0.3">
      <c r="A18" s="11" t="s">
        <v>68</v>
      </c>
      <c r="B18" s="12">
        <v>-6</v>
      </c>
      <c r="C18" s="11"/>
      <c r="D18" s="12"/>
      <c r="E18" s="12"/>
      <c r="F18" s="12"/>
      <c r="G18" s="13"/>
      <c r="H18" s="11"/>
      <c r="I18" s="12"/>
      <c r="J18" s="12"/>
      <c r="K18" s="12"/>
      <c r="L18" s="13"/>
      <c r="M18" s="11"/>
      <c r="N18" s="12"/>
      <c r="O18" s="12"/>
      <c r="P18" s="12"/>
      <c r="Q18" s="13"/>
      <c r="R18" s="11"/>
      <c r="S18" s="12"/>
      <c r="T18" s="12"/>
      <c r="U18" s="12"/>
      <c r="V18" s="13"/>
      <c r="W18" s="11"/>
      <c r="X18" s="12"/>
      <c r="Y18" s="12"/>
      <c r="Z18" s="12"/>
      <c r="AA18" s="13"/>
    </row>
    <row r="19" spans="1:27" ht="15.75" collapsed="1" thickBot="1" x14ac:dyDescent="0.3">
      <c r="C19" s="14">
        <f>(C13*$B13)+(C14*$B14)+(C15*$B15)+(C16*$B16)+(C17*$B17)+(C18*$B18)</f>
        <v>0</v>
      </c>
      <c r="D19" s="14">
        <f t="shared" ref="D19:AA19" si="1">(D13*$B13)+(D14*$B14)+(D15*$B15)+(D16*$B16)+(D17*$B17)+(D18*$B18)</f>
        <v>0</v>
      </c>
      <c r="E19" s="14">
        <f t="shared" si="1"/>
        <v>0</v>
      </c>
      <c r="F19" s="14">
        <f t="shared" si="1"/>
        <v>0</v>
      </c>
      <c r="G19" s="14">
        <f t="shared" si="1"/>
        <v>0</v>
      </c>
      <c r="H19" s="14">
        <f t="shared" si="1"/>
        <v>0</v>
      </c>
      <c r="I19" s="14">
        <f t="shared" si="1"/>
        <v>0</v>
      </c>
      <c r="J19" s="14">
        <f t="shared" si="1"/>
        <v>0</v>
      </c>
      <c r="K19" s="14">
        <f t="shared" si="1"/>
        <v>0</v>
      </c>
      <c r="L19" s="14">
        <f t="shared" si="1"/>
        <v>0</v>
      </c>
      <c r="M19" s="14">
        <f t="shared" si="1"/>
        <v>0</v>
      </c>
      <c r="N19" s="14">
        <f t="shared" si="1"/>
        <v>0</v>
      </c>
      <c r="O19" s="14">
        <f t="shared" si="1"/>
        <v>0</v>
      </c>
      <c r="P19" s="14">
        <f t="shared" si="1"/>
        <v>0</v>
      </c>
      <c r="Q19" s="15">
        <f t="shared" si="1"/>
        <v>0</v>
      </c>
      <c r="R19" s="14">
        <f t="shared" si="1"/>
        <v>0</v>
      </c>
      <c r="S19" s="14">
        <f t="shared" si="1"/>
        <v>0</v>
      </c>
      <c r="T19" s="14">
        <f t="shared" si="1"/>
        <v>0</v>
      </c>
      <c r="U19" s="14">
        <f t="shared" si="1"/>
        <v>0</v>
      </c>
      <c r="V19" s="15">
        <f t="shared" si="1"/>
        <v>0</v>
      </c>
      <c r="W19" s="14">
        <f t="shared" si="1"/>
        <v>0</v>
      </c>
      <c r="X19" s="14">
        <f t="shared" si="1"/>
        <v>0</v>
      </c>
      <c r="Y19" s="14">
        <f t="shared" si="1"/>
        <v>0</v>
      </c>
      <c r="Z19" s="14">
        <f t="shared" si="1"/>
        <v>0</v>
      </c>
      <c r="AA19" s="15">
        <f t="shared" si="1"/>
        <v>0</v>
      </c>
    </row>
    <row r="20" spans="1:27" ht="15.75" thickBot="1" x14ac:dyDescent="0.3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hidden="1" outlineLevel="1" x14ac:dyDescent="0.25">
      <c r="A21" s="6" t="s">
        <v>63</v>
      </c>
      <c r="B21">
        <v>15</v>
      </c>
      <c r="C21" s="6"/>
      <c r="G21" s="7"/>
      <c r="H21" s="6"/>
      <c r="L21" s="7"/>
      <c r="M21" s="6"/>
      <c r="Q21" s="7"/>
      <c r="R21" s="6"/>
      <c r="V21" s="7"/>
      <c r="W21" s="6"/>
      <c r="AA21" s="7"/>
    </row>
    <row r="22" spans="1:27" hidden="1" outlineLevel="1" x14ac:dyDescent="0.25">
      <c r="A22" s="6" t="s">
        <v>64</v>
      </c>
      <c r="B22">
        <v>7</v>
      </c>
      <c r="C22" s="6"/>
      <c r="G22" s="7"/>
      <c r="H22" s="6"/>
      <c r="L22" s="7"/>
      <c r="M22" s="6"/>
      <c r="Q22" s="7"/>
      <c r="R22" s="6"/>
      <c r="V22" s="7"/>
      <c r="W22" s="6"/>
      <c r="AA22" s="7"/>
    </row>
    <row r="23" spans="1:27" hidden="1" outlineLevel="1" x14ac:dyDescent="0.25">
      <c r="A23" s="6" t="s">
        <v>65</v>
      </c>
      <c r="B23">
        <v>3</v>
      </c>
      <c r="C23" s="6"/>
      <c r="G23" s="7"/>
      <c r="H23" s="6"/>
      <c r="L23" s="7"/>
      <c r="M23" s="6"/>
      <c r="Q23" s="7"/>
      <c r="R23" s="6"/>
      <c r="V23" s="7"/>
      <c r="W23" s="6"/>
      <c r="AA23" s="7"/>
    </row>
    <row r="24" spans="1:27" hidden="1" outlineLevel="1" x14ac:dyDescent="0.25">
      <c r="A24" s="6" t="s">
        <v>66</v>
      </c>
      <c r="B24">
        <v>-2</v>
      </c>
      <c r="C24" s="6"/>
      <c r="G24" s="7"/>
      <c r="H24" s="6"/>
      <c r="L24" s="7"/>
      <c r="M24" s="6"/>
      <c r="Q24" s="7"/>
      <c r="R24" s="6"/>
      <c r="V24" s="7"/>
      <c r="W24" s="6"/>
      <c r="AA24" s="7"/>
    </row>
    <row r="25" spans="1:27" hidden="1" outlineLevel="1" x14ac:dyDescent="0.25">
      <c r="A25" s="6" t="s">
        <v>67</v>
      </c>
      <c r="B25">
        <v>-4</v>
      </c>
      <c r="C25" s="6"/>
      <c r="G25" s="7"/>
      <c r="H25" s="6"/>
      <c r="L25" s="7"/>
      <c r="M25" s="6"/>
      <c r="Q25" s="7"/>
      <c r="R25" s="6"/>
      <c r="V25" s="7"/>
      <c r="W25" s="6"/>
      <c r="AA25" s="7"/>
    </row>
    <row r="26" spans="1:27" ht="15.75" hidden="1" outlineLevel="1" thickBot="1" x14ac:dyDescent="0.3">
      <c r="A26" s="11" t="s">
        <v>68</v>
      </c>
      <c r="B26" s="12">
        <v>-6</v>
      </c>
      <c r="C26" s="11"/>
      <c r="D26" s="12"/>
      <c r="E26" s="12"/>
      <c r="F26" s="12"/>
      <c r="G26" s="13"/>
      <c r="H26" s="11"/>
      <c r="I26" s="12"/>
      <c r="J26" s="12"/>
      <c r="K26" s="12"/>
      <c r="L26" s="13"/>
      <c r="M26" s="11"/>
      <c r="N26" s="12"/>
      <c r="O26" s="12"/>
      <c r="P26" s="12"/>
      <c r="Q26" s="13"/>
      <c r="R26" s="11"/>
      <c r="S26" s="12"/>
      <c r="T26" s="12"/>
      <c r="U26" s="12"/>
      <c r="V26" s="13"/>
      <c r="W26" s="11"/>
      <c r="X26" s="12"/>
      <c r="Y26" s="12"/>
      <c r="Z26" s="12"/>
      <c r="AA26" s="13"/>
    </row>
    <row r="27" spans="1:27" ht="15.75" collapsed="1" thickBot="1" x14ac:dyDescent="0.3">
      <c r="C27" s="14">
        <f>(C21*$B21)+(C22*$B22)+(C23*$B23)+(C24*$B24)+(C25*$B25)+(C26*$B26)</f>
        <v>0</v>
      </c>
      <c r="D27" s="14">
        <f t="shared" ref="D27:AA27" si="2">(D21*$B21)+(D22*$B22)+(D23*$B23)+(D24*$B24)+(D25*$B25)+(D26*$B26)</f>
        <v>0</v>
      </c>
      <c r="E27" s="14">
        <f t="shared" si="2"/>
        <v>0</v>
      </c>
      <c r="F27" s="14">
        <f t="shared" si="2"/>
        <v>0</v>
      </c>
      <c r="G27" s="14">
        <f t="shared" si="2"/>
        <v>0</v>
      </c>
      <c r="H27" s="14">
        <f t="shared" si="2"/>
        <v>0</v>
      </c>
      <c r="I27" s="14">
        <f t="shared" si="2"/>
        <v>0</v>
      </c>
      <c r="J27" s="14">
        <f t="shared" si="2"/>
        <v>0</v>
      </c>
      <c r="K27" s="14">
        <f t="shared" si="2"/>
        <v>0</v>
      </c>
      <c r="L27" s="14">
        <f t="shared" si="2"/>
        <v>0</v>
      </c>
      <c r="M27" s="14">
        <f t="shared" si="2"/>
        <v>0</v>
      </c>
      <c r="N27" s="14">
        <f t="shared" si="2"/>
        <v>0</v>
      </c>
      <c r="O27" s="14">
        <f t="shared" si="2"/>
        <v>0</v>
      </c>
      <c r="P27" s="14">
        <f t="shared" si="2"/>
        <v>0</v>
      </c>
      <c r="Q27" s="15">
        <f t="shared" si="2"/>
        <v>0</v>
      </c>
      <c r="R27" s="14">
        <f t="shared" si="2"/>
        <v>0</v>
      </c>
      <c r="S27" s="14">
        <f t="shared" si="2"/>
        <v>0</v>
      </c>
      <c r="T27" s="14">
        <f t="shared" si="2"/>
        <v>0</v>
      </c>
      <c r="U27" s="14">
        <f t="shared" si="2"/>
        <v>0</v>
      </c>
      <c r="V27" s="15">
        <f t="shared" si="2"/>
        <v>0</v>
      </c>
      <c r="W27" s="14">
        <f t="shared" si="2"/>
        <v>0</v>
      </c>
      <c r="X27" s="14">
        <f t="shared" si="2"/>
        <v>0</v>
      </c>
      <c r="Y27" s="14">
        <f t="shared" si="2"/>
        <v>0</v>
      </c>
      <c r="Z27" s="14">
        <f t="shared" si="2"/>
        <v>0</v>
      </c>
      <c r="AA27" s="15">
        <f t="shared" si="2"/>
        <v>0</v>
      </c>
    </row>
    <row r="28" spans="1:27" ht="15.75" thickBot="1" x14ac:dyDescent="0.3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hidden="1" outlineLevel="1" x14ac:dyDescent="0.25">
      <c r="A29" s="6" t="s">
        <v>63</v>
      </c>
      <c r="B29">
        <v>15</v>
      </c>
      <c r="C29" s="6"/>
      <c r="G29" s="7"/>
      <c r="H29" s="6"/>
      <c r="L29" s="7"/>
      <c r="M29" s="6"/>
      <c r="Q29" s="7"/>
      <c r="R29" s="6"/>
      <c r="V29" s="7"/>
      <c r="W29" s="6"/>
      <c r="AA29" s="7"/>
    </row>
    <row r="30" spans="1:27" hidden="1" outlineLevel="1" x14ac:dyDescent="0.25">
      <c r="A30" s="6" t="s">
        <v>64</v>
      </c>
      <c r="B30">
        <v>7</v>
      </c>
      <c r="C30" s="6"/>
      <c r="G30" s="7"/>
      <c r="H30" s="6"/>
      <c r="L30" s="7"/>
      <c r="M30" s="6"/>
      <c r="Q30" s="7"/>
      <c r="R30" s="6"/>
      <c r="V30" s="7"/>
      <c r="W30" s="6"/>
      <c r="AA30" s="7"/>
    </row>
    <row r="31" spans="1:27" hidden="1" outlineLevel="1" x14ac:dyDescent="0.25">
      <c r="A31" s="6" t="s">
        <v>65</v>
      </c>
      <c r="B31">
        <v>3</v>
      </c>
      <c r="C31" s="6"/>
      <c r="G31" s="7"/>
      <c r="H31" s="6"/>
      <c r="L31" s="7"/>
      <c r="M31" s="6"/>
      <c r="Q31" s="7"/>
      <c r="R31" s="6"/>
      <c r="V31" s="7"/>
      <c r="W31" s="6"/>
      <c r="AA31" s="7"/>
    </row>
    <row r="32" spans="1:27" hidden="1" outlineLevel="1" x14ac:dyDescent="0.25">
      <c r="A32" s="6" t="s">
        <v>66</v>
      </c>
      <c r="B32">
        <v>-2</v>
      </c>
      <c r="C32" s="6"/>
      <c r="G32" s="7"/>
      <c r="H32" s="6"/>
      <c r="L32" s="7"/>
      <c r="M32" s="6"/>
      <c r="Q32" s="7"/>
      <c r="R32" s="6"/>
      <c r="V32" s="7"/>
      <c r="W32" s="6"/>
      <c r="AA32" s="7"/>
    </row>
    <row r="33" spans="1:27" hidden="1" outlineLevel="1" x14ac:dyDescent="0.25">
      <c r="A33" s="6" t="s">
        <v>67</v>
      </c>
      <c r="B33">
        <v>-4</v>
      </c>
      <c r="C33" s="6"/>
      <c r="G33" s="7"/>
      <c r="H33" s="6"/>
      <c r="L33" s="7"/>
      <c r="M33" s="6"/>
      <c r="Q33" s="7"/>
      <c r="R33" s="6"/>
      <c r="V33" s="7"/>
      <c r="W33" s="6"/>
      <c r="AA33" s="7"/>
    </row>
    <row r="34" spans="1:27" ht="15.75" hidden="1" outlineLevel="1" thickBot="1" x14ac:dyDescent="0.3">
      <c r="A34" s="11" t="s">
        <v>68</v>
      </c>
      <c r="B34" s="12">
        <v>-6</v>
      </c>
      <c r="C34" s="11"/>
      <c r="D34" s="12"/>
      <c r="E34" s="12"/>
      <c r="F34" s="12"/>
      <c r="G34" s="13"/>
      <c r="H34" s="11"/>
      <c r="I34" s="12"/>
      <c r="J34" s="12"/>
      <c r="K34" s="12"/>
      <c r="L34" s="13"/>
      <c r="M34" s="11"/>
      <c r="N34" s="12"/>
      <c r="O34" s="12"/>
      <c r="P34" s="12"/>
      <c r="Q34" s="13"/>
      <c r="R34" s="11"/>
      <c r="S34" s="12"/>
      <c r="T34" s="12"/>
      <c r="U34" s="12"/>
      <c r="V34" s="13"/>
      <c r="W34" s="11"/>
      <c r="X34" s="12"/>
      <c r="Y34" s="12"/>
      <c r="Z34" s="12"/>
      <c r="AA34" s="13"/>
    </row>
    <row r="35" spans="1:27" ht="15.75" collapsed="1" thickBot="1" x14ac:dyDescent="0.3">
      <c r="C35" s="14">
        <f>(C29*$B29)+(C30*$B30)+(C31*$B31)+(C32*$B32)+(C33*$B33)+(C34*$B34)</f>
        <v>0</v>
      </c>
      <c r="D35" s="14">
        <f t="shared" ref="D35:AA35" si="3">(D29*$B29)+(D30*$B30)+(D31*$B31)+(D32*$B32)+(D33*$B33)+(D34*$B34)</f>
        <v>0</v>
      </c>
      <c r="E35" s="14">
        <f t="shared" si="3"/>
        <v>0</v>
      </c>
      <c r="F35" s="14">
        <f t="shared" si="3"/>
        <v>0</v>
      </c>
      <c r="G35" s="14">
        <f t="shared" si="3"/>
        <v>0</v>
      </c>
      <c r="H35" s="14">
        <f t="shared" si="3"/>
        <v>0</v>
      </c>
      <c r="I35" s="14">
        <f t="shared" si="3"/>
        <v>0</v>
      </c>
      <c r="J35" s="14">
        <f t="shared" si="3"/>
        <v>0</v>
      </c>
      <c r="K35" s="14">
        <f t="shared" si="3"/>
        <v>0</v>
      </c>
      <c r="L35" s="14">
        <f t="shared" si="3"/>
        <v>0</v>
      </c>
      <c r="M35" s="14">
        <f t="shared" si="3"/>
        <v>0</v>
      </c>
      <c r="N35" s="14">
        <f t="shared" si="3"/>
        <v>0</v>
      </c>
      <c r="O35" s="14">
        <f t="shared" si="3"/>
        <v>0</v>
      </c>
      <c r="P35" s="14">
        <f t="shared" si="3"/>
        <v>0</v>
      </c>
      <c r="Q35" s="15">
        <f t="shared" si="3"/>
        <v>0</v>
      </c>
      <c r="R35" s="14">
        <f t="shared" si="3"/>
        <v>0</v>
      </c>
      <c r="S35" s="14">
        <f t="shared" si="3"/>
        <v>0</v>
      </c>
      <c r="T35" s="14">
        <f t="shared" si="3"/>
        <v>0</v>
      </c>
      <c r="U35" s="14">
        <f t="shared" si="3"/>
        <v>0</v>
      </c>
      <c r="V35" s="15">
        <f t="shared" si="3"/>
        <v>0</v>
      </c>
      <c r="W35" s="14">
        <f t="shared" si="3"/>
        <v>0</v>
      </c>
      <c r="X35" s="14">
        <f t="shared" si="3"/>
        <v>0</v>
      </c>
      <c r="Y35" s="14">
        <f t="shared" si="3"/>
        <v>0</v>
      </c>
      <c r="Z35" s="14">
        <f t="shared" si="3"/>
        <v>0</v>
      </c>
      <c r="AA35" s="15">
        <f t="shared" si="3"/>
        <v>0</v>
      </c>
    </row>
    <row r="36" spans="1:27" ht="15.75" thickBot="1" x14ac:dyDescent="0.3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hidden="1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hidden="1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AA38" s="7"/>
    </row>
    <row r="39" spans="1:27" hidden="1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hidden="1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hidden="1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hidden="1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hidden="1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hidden="1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hidden="1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hidden="1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hidden="1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Q47" s="7"/>
      <c r="R47" s="6"/>
      <c r="V47" s="7"/>
      <c r="W47" s="6"/>
      <c r="AA47" s="7"/>
    </row>
    <row r="48" spans="1:27" hidden="1" outlineLevel="1" x14ac:dyDescent="0.25">
      <c r="A48" s="6" t="s">
        <v>84</v>
      </c>
      <c r="B48">
        <v>5</v>
      </c>
      <c r="C48" s="6"/>
      <c r="G48" s="7"/>
      <c r="H48" s="6"/>
      <c r="L48" s="7"/>
      <c r="M48" s="6"/>
      <c r="Q48" s="7"/>
      <c r="R48" s="6"/>
      <c r="V48" s="7"/>
      <c r="W48" s="6"/>
      <c r="AA48" s="7"/>
    </row>
    <row r="49" spans="1:27" hidden="1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/>
      <c r="AA49" s="7"/>
    </row>
    <row r="50" spans="1:27" hidden="1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Q50" s="7"/>
      <c r="R50" s="6"/>
      <c r="V50" s="7"/>
      <c r="W50" s="6"/>
      <c r="AA50" s="7"/>
    </row>
    <row r="51" spans="1:27" hidden="1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Q51" s="7"/>
      <c r="R51" s="6"/>
      <c r="V51" s="7"/>
      <c r="W51" s="6"/>
      <c r="AA51" s="7"/>
    </row>
    <row r="52" spans="1:27" ht="15.75" hidden="1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/>
      <c r="X52" s="12"/>
      <c r="Y52" s="12"/>
      <c r="Z52" s="12"/>
      <c r="AA52" s="13"/>
    </row>
    <row r="53" spans="1:27" ht="15.75" collapsed="1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/>
      <c r="L55" s="7"/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/>
      <c r="G56" s="7"/>
      <c r="H56" s="6"/>
      <c r="L56" s="7"/>
      <c r="Q56" s="7"/>
      <c r="V56" s="7"/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0</v>
      </c>
      <c r="D59" s="16" cm="1">
        <f t="array" ref="D59">SUM(D11,D19,D27,D35,(D37:D52)*($B37:$B52),((D55*$B55)+(D56*$B56)+(D57*$B57)))</f>
        <v>0</v>
      </c>
      <c r="E59" s="16" cm="1">
        <f t="array" ref="E59">SUM(E11,E19,E27,E35,(E37:E52)*($B37:$B52),((E55*$B55)+(E56*$B56)+(E57*$B57)))</f>
        <v>0</v>
      </c>
      <c r="F59" s="16" cm="1">
        <f t="array" ref="F59">SUM(F11,F19,F27,F35,(F37:F52)*($B37:$B52),((F55*$B55)+(F56*$B56)+(F57*$B57)))</f>
        <v>0</v>
      </c>
      <c r="G59" s="16" cm="1">
        <f t="array" ref="G59">SUM(G11,G19,G27,G35,(G37:G52)*($B37:$B52),((G55*$B55)+(G56*$B56)+(G57*$B57)))</f>
        <v>0</v>
      </c>
      <c r="H59" s="16" cm="1">
        <f t="array" ref="H59">SUM(H11,H19,H27,H35,(H37:H52)*($B37:$B52),((H55*$B55)+(H56*$B56)+(H57*$B57)))</f>
        <v>0</v>
      </c>
      <c r="I59" s="16" cm="1">
        <f t="array" ref="I59">SUM(I11,I19,I27,I35,(I37:I52)*($B37:$B52),((I55*$B55)+(I56*$B56)+(I57*$B57)))</f>
        <v>0</v>
      </c>
      <c r="J59" s="16" cm="1">
        <f t="array" ref="J59">SUM(J11,J19,J27,J35,(J37:J52)*($B37:$B52),((J55*$B55)+(J56*$B56)+(J57*$B57)))</f>
        <v>0</v>
      </c>
      <c r="K59" s="16" cm="1">
        <f t="array" ref="K59">SUM(K11,K19,K27,K35,(K37:K52)*($B37:$B52),((K55*$B55)+(K56*$B56)+(K57*$B57)))</f>
        <v>0</v>
      </c>
      <c r="L59" s="16" cm="1">
        <f t="array" ref="L59">SUM(L11,L19,L27,L35,(L37:L52)*($B37:$B52),((L55*$B55)+(L56*$B56)+(L57*$B57)))</f>
        <v>0</v>
      </c>
      <c r="M59" s="16" cm="1">
        <f t="array" ref="M59">SUM(M11,M19,M27,M35,(M37:M52)*($B37:$B52),((M55*$B55)+(M56*$B56)+(M57*$B57)))</f>
        <v>0</v>
      </c>
      <c r="N59" s="16" cm="1">
        <f t="array" ref="N59">SUM(N11,N19,N27,N35,(N37:N52)*($B37:$B52),((N55*$B55)+(N56*$B56)+(N57*$B57)))</f>
        <v>0</v>
      </c>
      <c r="O59" s="16" cm="1">
        <f t="array" ref="O59">SUM(O11,O19,O27,O35,(O37:O52)*($B37:$B52),((O55*$B55)+(O56*$B56)+(O57*$B57)))</f>
        <v>0</v>
      </c>
      <c r="P59" s="16" cm="1">
        <f t="array" ref="P59">SUM(P11,P19,P27,P35,(P37:P52)*($B37:$B52),((P55*$B55)+(P56*$B56)+(P57*$B57)))</f>
        <v>0</v>
      </c>
      <c r="Q59" s="16" cm="1">
        <f t="array" ref="Q59">SUM(Q11,Q19,Q27,Q35,(Q37:Q52)*($B37:$B52),((Q55*$B55)+(Q56*$B56)+(Q57*$B57)))</f>
        <v>0</v>
      </c>
      <c r="R59" s="16" cm="1">
        <f t="array" ref="R59">SUM(R11,R19,R27,R35,(R37:R52)*($B37:$B52),((R55*$B55)+(R56*$B56)+(R57*$B57)))</f>
        <v>0</v>
      </c>
      <c r="S59" s="16" cm="1">
        <f t="array" ref="S59">SUM(S11,S19,S27,S35,(S37:S52)*($B37:$B52),((S55*$B55)+(S56*$B56)+(S57*$B57)))</f>
        <v>0</v>
      </c>
      <c r="T59" s="16" cm="1">
        <f t="array" ref="T59">SUM(T11,T19,T27,T35,(T37:T52)*($B37:$B52),((T55*$B55)+(T56*$B56)+(T57*$B57)))</f>
        <v>0</v>
      </c>
      <c r="U59" s="16" cm="1">
        <f t="array" ref="U59">SUM(U11,U19,U27,U35,(U37:U52)*($B37:$B52),((U55*$B55)+(U56*$B56)+(U57*$B57)))</f>
        <v>0</v>
      </c>
      <c r="V59" s="16" cm="1">
        <f t="array" ref="V59">SUM(V11,V19,V27,V35,(V37:V52)*($B37:$B52),((V55*$B55)+(V56*$B56)+(V57*$B57)))</f>
        <v>0</v>
      </c>
      <c r="W59" s="16" cm="1">
        <f t="array" ref="W59">SUM(W11,W19,W27,W35,(W37:W52)*($B37:$B52),((W55*$B55)+(W56*$B56)+(W57*$B57)))</f>
        <v>0</v>
      </c>
      <c r="X59" s="16" cm="1">
        <f t="array" ref="X59">SUM(X11,X19,X27,X35,(X37:X52)*($B37:$B52),((X55*$B55)+(X56*$B56)+(X57*$B57)))</f>
        <v>0</v>
      </c>
      <c r="Y59" s="16" cm="1">
        <f t="array" ref="Y59">SUM(Y11,Y19,Y27,Y35,(Y37:Y52)*($B37:$B52),((Y55*$B55)+(Y56*$B56)+(Y57*$B57)))</f>
        <v>0</v>
      </c>
      <c r="Z59" s="16" cm="1">
        <f t="array" ref="Z59">SUM(Z11,Z19,Z27,Z35,(Z37:Z52)*($B37:$B52),((Z55*$B55)+(Z56*$B56)+(Z57*$B57)))</f>
        <v>0</v>
      </c>
      <c r="AA59" s="16" cm="1">
        <f t="array" ref="AA59">SUM(AA11,AA19,AA27,AA35,(AA37:AA52)*($B37:$B52),((AA55*$B55)+(AA56*$B56)+(AA57*$B57)))</f>
        <v>0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0</v>
      </c>
      <c r="D61" s="18"/>
      <c r="E61" s="18"/>
      <c r="F61" s="18"/>
      <c r="G61" s="19"/>
      <c r="H61" s="17">
        <f>SUM(H59:L59)</f>
        <v>0</v>
      </c>
      <c r="I61" s="18"/>
      <c r="J61" s="18"/>
      <c r="K61" s="18"/>
      <c r="L61" s="19"/>
      <c r="M61" s="17">
        <f>SUM(M59:Q59)</f>
        <v>0</v>
      </c>
      <c r="N61" s="18"/>
      <c r="O61" s="18"/>
      <c r="P61" s="18"/>
      <c r="Q61" s="19"/>
      <c r="R61" s="17">
        <f>SUM(R59:V59)</f>
        <v>0</v>
      </c>
      <c r="S61" s="18"/>
      <c r="T61" s="18"/>
      <c r="U61" s="18"/>
      <c r="V61" s="19"/>
      <c r="W61" s="17">
        <f>SUM(W59:AA59)</f>
        <v>0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06202-EB7D-4749-9456-BC80D37E690E}">
  <sheetPr codeName="Sheet17">
    <tabColor rgb="FFFFFF00"/>
  </sheetPr>
  <dimension ref="A1:AA61"/>
  <sheetViews>
    <sheetView tabSelected="1" topLeftCell="A18" zoomScale="70" zoomScaleNormal="70" workbookViewId="0">
      <selection activeCell="M68" sqref="M68"/>
    </sheetView>
  </sheetViews>
  <sheetFormatPr defaultRowHeight="15" outlineLevelRow="1" x14ac:dyDescent="0.25"/>
  <sheetData>
    <row r="1" spans="1:27" ht="15.75" thickBot="1" x14ac:dyDescent="0.3">
      <c r="A1" t="s">
        <v>215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160</v>
      </c>
      <c r="D2" s="42" t="s">
        <v>140</v>
      </c>
      <c r="E2" s="4" t="s">
        <v>174</v>
      </c>
      <c r="F2" s="4" t="s">
        <v>205</v>
      </c>
      <c r="G2" s="43" t="s">
        <v>110</v>
      </c>
      <c r="H2" s="3" t="s">
        <v>154</v>
      </c>
      <c r="I2" s="4" t="s">
        <v>109</v>
      </c>
      <c r="J2" s="4" t="s">
        <v>207</v>
      </c>
      <c r="K2" s="4" t="s">
        <v>94</v>
      </c>
      <c r="L2" s="52" t="s">
        <v>102</v>
      </c>
      <c r="M2" t="s">
        <v>212</v>
      </c>
      <c r="N2" s="4" t="s">
        <v>103</v>
      </c>
      <c r="O2" s="4" t="s">
        <v>203</v>
      </c>
      <c r="P2" s="42" t="s">
        <v>53</v>
      </c>
      <c r="Q2" s="5" t="s">
        <v>95</v>
      </c>
      <c r="R2" s="3" t="s">
        <v>202</v>
      </c>
      <c r="S2" s="4" t="s">
        <v>206</v>
      </c>
      <c r="T2" s="4" t="s">
        <v>144</v>
      </c>
      <c r="U2" s="42" t="s">
        <v>142</v>
      </c>
      <c r="V2" s="43" t="s">
        <v>161</v>
      </c>
      <c r="W2" s="3" t="s">
        <v>217</v>
      </c>
      <c r="X2" s="4" t="s">
        <v>141</v>
      </c>
      <c r="Y2" s="4" t="s">
        <v>143</v>
      </c>
      <c r="Z2" s="42" t="s">
        <v>218</v>
      </c>
      <c r="AA2" s="43" t="s">
        <v>166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x14ac:dyDescent="0.25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1</v>
      </c>
      <c r="H6" s="6">
        <v>1</v>
      </c>
      <c r="I6">
        <v>1</v>
      </c>
      <c r="J6">
        <v>1</v>
      </c>
      <c r="K6">
        <v>0</v>
      </c>
      <c r="L6" s="7">
        <v>0</v>
      </c>
      <c r="M6" s="6">
        <v>0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1</v>
      </c>
      <c r="Z6">
        <v>0</v>
      </c>
      <c r="AA6" s="7">
        <v>0</v>
      </c>
    </row>
    <row r="7" spans="1:27" outlineLevel="1" x14ac:dyDescent="0.25">
      <c r="A7" s="6" t="s">
        <v>65</v>
      </c>
      <c r="B7">
        <v>3</v>
      </c>
      <c r="C7" s="6">
        <v>8</v>
      </c>
      <c r="D7">
        <v>5</v>
      </c>
      <c r="E7">
        <v>7</v>
      </c>
      <c r="F7">
        <v>6</v>
      </c>
      <c r="G7" s="7">
        <v>4</v>
      </c>
      <c r="H7" s="6">
        <v>6</v>
      </c>
      <c r="I7">
        <v>5</v>
      </c>
      <c r="J7">
        <v>5</v>
      </c>
      <c r="K7">
        <v>5</v>
      </c>
      <c r="L7" s="7">
        <v>3</v>
      </c>
      <c r="M7" s="6">
        <v>8</v>
      </c>
      <c r="N7">
        <v>8</v>
      </c>
      <c r="O7">
        <v>4</v>
      </c>
      <c r="P7">
        <v>4</v>
      </c>
      <c r="Q7" s="7">
        <v>6</v>
      </c>
      <c r="R7" s="6">
        <v>6</v>
      </c>
      <c r="S7">
        <v>7</v>
      </c>
      <c r="T7">
        <v>9</v>
      </c>
      <c r="U7">
        <v>5</v>
      </c>
      <c r="V7" s="7">
        <v>5</v>
      </c>
      <c r="W7" s="6">
        <v>7</v>
      </c>
      <c r="X7">
        <v>7</v>
      </c>
      <c r="Y7">
        <v>6</v>
      </c>
      <c r="Z7">
        <v>7</v>
      </c>
      <c r="AA7" s="7">
        <v>5</v>
      </c>
    </row>
    <row r="8" spans="1:27" outlineLevel="1" x14ac:dyDescent="0.25">
      <c r="A8" s="6" t="s">
        <v>66</v>
      </c>
      <c r="B8">
        <v>-2</v>
      </c>
      <c r="C8" s="6">
        <v>1</v>
      </c>
      <c r="D8">
        <v>2</v>
      </c>
      <c r="E8">
        <v>3</v>
      </c>
      <c r="F8">
        <v>4</v>
      </c>
      <c r="G8" s="7">
        <v>1</v>
      </c>
      <c r="H8" s="6">
        <v>0</v>
      </c>
      <c r="I8">
        <v>1</v>
      </c>
      <c r="J8">
        <v>1</v>
      </c>
      <c r="K8">
        <v>1</v>
      </c>
      <c r="L8" s="7">
        <v>0</v>
      </c>
      <c r="M8" s="6">
        <v>0</v>
      </c>
      <c r="N8">
        <v>1</v>
      </c>
      <c r="O8">
        <v>0</v>
      </c>
      <c r="P8">
        <v>0</v>
      </c>
      <c r="Q8" s="7">
        <v>0</v>
      </c>
      <c r="R8" s="6">
        <v>1</v>
      </c>
      <c r="S8">
        <v>1</v>
      </c>
      <c r="T8">
        <v>1</v>
      </c>
      <c r="U8">
        <v>1</v>
      </c>
      <c r="V8" s="7">
        <v>0</v>
      </c>
      <c r="W8" s="6">
        <v>1</v>
      </c>
      <c r="X8">
        <v>0</v>
      </c>
      <c r="Y8">
        <v>1</v>
      </c>
      <c r="Z8">
        <v>2</v>
      </c>
      <c r="AA8" s="7">
        <v>2</v>
      </c>
    </row>
    <row r="9" spans="1:27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0</v>
      </c>
      <c r="G9" s="7">
        <v>1</v>
      </c>
      <c r="H9" s="6">
        <v>0</v>
      </c>
      <c r="I9">
        <v>0</v>
      </c>
      <c r="J9">
        <v>1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0</v>
      </c>
      <c r="Q9" s="7">
        <v>0</v>
      </c>
      <c r="R9" s="6">
        <v>0</v>
      </c>
      <c r="S9">
        <v>0</v>
      </c>
      <c r="T9">
        <v>0</v>
      </c>
      <c r="U9">
        <v>1</v>
      </c>
      <c r="V9" s="7">
        <v>0</v>
      </c>
      <c r="W9" s="6">
        <v>0</v>
      </c>
      <c r="X9">
        <v>1</v>
      </c>
      <c r="Y9">
        <v>0</v>
      </c>
      <c r="Z9">
        <v>0</v>
      </c>
      <c r="AA9" s="7">
        <v>0</v>
      </c>
    </row>
    <row r="10" spans="1:27" ht="15.75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1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thickBot="1" x14ac:dyDescent="0.3">
      <c r="C11" s="14">
        <f>(C5*$B5)+(C6*$B6)+(C7*$B7)+(C8*$B8)+(C9*$B9)+(C10*$B10)</f>
        <v>22</v>
      </c>
      <c r="D11" s="14">
        <f t="shared" ref="D11:AA11" si="0">(D5*$B5)+(D6*$B6)+(D7*$B7)+(D8*$B8)+(D9*$B9)+(D10*$B10)</f>
        <v>11</v>
      </c>
      <c r="E11" s="14">
        <f t="shared" si="0"/>
        <v>15</v>
      </c>
      <c r="F11" s="14">
        <f t="shared" si="0"/>
        <v>10</v>
      </c>
      <c r="G11" s="14">
        <f t="shared" si="0"/>
        <v>13</v>
      </c>
      <c r="H11" s="14">
        <f t="shared" si="0"/>
        <v>25</v>
      </c>
      <c r="I11" s="14">
        <f t="shared" si="0"/>
        <v>20</v>
      </c>
      <c r="J11" s="14">
        <f t="shared" si="0"/>
        <v>16</v>
      </c>
      <c r="K11" s="14">
        <f t="shared" si="0"/>
        <v>13</v>
      </c>
      <c r="L11" s="14">
        <f t="shared" si="0"/>
        <v>9</v>
      </c>
      <c r="M11" s="14">
        <f t="shared" si="0"/>
        <v>24</v>
      </c>
      <c r="N11" s="14">
        <f t="shared" si="0"/>
        <v>22</v>
      </c>
      <c r="O11" s="14">
        <f t="shared" si="0"/>
        <v>12</v>
      </c>
      <c r="P11" s="14">
        <f t="shared" si="0"/>
        <v>12</v>
      </c>
      <c r="Q11" s="15">
        <f t="shared" si="0"/>
        <v>18</v>
      </c>
      <c r="R11" s="14">
        <f t="shared" si="0"/>
        <v>16</v>
      </c>
      <c r="S11" s="14">
        <f t="shared" si="0"/>
        <v>19</v>
      </c>
      <c r="T11" s="14">
        <f t="shared" si="0"/>
        <v>25</v>
      </c>
      <c r="U11" s="14">
        <f t="shared" si="0"/>
        <v>9</v>
      </c>
      <c r="V11" s="15">
        <f t="shared" si="0"/>
        <v>9</v>
      </c>
      <c r="W11" s="14">
        <f t="shared" si="0"/>
        <v>19</v>
      </c>
      <c r="X11" s="14">
        <f t="shared" si="0"/>
        <v>17</v>
      </c>
      <c r="Y11" s="14">
        <f t="shared" si="0"/>
        <v>23</v>
      </c>
      <c r="Z11" s="14">
        <f t="shared" si="0"/>
        <v>17</v>
      </c>
      <c r="AA11" s="15">
        <f t="shared" si="0"/>
        <v>11</v>
      </c>
    </row>
    <row r="12" spans="1:27" x14ac:dyDescent="0.25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outlineLevel="1" x14ac:dyDescent="0.25">
      <c r="A13" s="6" t="s">
        <v>63</v>
      </c>
      <c r="B13">
        <v>15</v>
      </c>
      <c r="C13" s="6">
        <v>0</v>
      </c>
      <c r="D13" s="52">
        <v>0</v>
      </c>
      <c r="E13" s="52">
        <v>0</v>
      </c>
      <c r="F13" s="52">
        <v>0</v>
      </c>
      <c r="G13" s="7">
        <v>0</v>
      </c>
      <c r="H13" s="6">
        <v>0</v>
      </c>
      <c r="I13" s="52">
        <v>0</v>
      </c>
      <c r="J13" s="52">
        <v>0</v>
      </c>
      <c r="K13" s="52">
        <v>0</v>
      </c>
      <c r="L13" s="7">
        <v>0</v>
      </c>
      <c r="M13" s="6">
        <v>0</v>
      </c>
      <c r="N13" s="52">
        <v>0</v>
      </c>
      <c r="O13" s="52">
        <v>0</v>
      </c>
      <c r="P13" s="52">
        <v>0</v>
      </c>
      <c r="Q13" s="7">
        <v>0</v>
      </c>
      <c r="R13" s="6">
        <v>0</v>
      </c>
      <c r="S13" s="52">
        <v>0</v>
      </c>
      <c r="T13" s="52">
        <v>0</v>
      </c>
      <c r="U13" s="52">
        <v>0</v>
      </c>
      <c r="V13" s="7">
        <v>0</v>
      </c>
      <c r="W13" s="6">
        <v>0</v>
      </c>
      <c r="X13" s="52">
        <v>0</v>
      </c>
      <c r="Y13" s="52">
        <v>0</v>
      </c>
      <c r="Z13" s="52">
        <v>0</v>
      </c>
      <c r="AA13" s="7">
        <v>0</v>
      </c>
    </row>
    <row r="14" spans="1:27" outlineLevel="1" x14ac:dyDescent="0.25">
      <c r="A14" s="6" t="s">
        <v>64</v>
      </c>
      <c r="B14">
        <v>7</v>
      </c>
      <c r="C14" s="6">
        <v>0</v>
      </c>
      <c r="D14" s="52">
        <v>0</v>
      </c>
      <c r="E14" s="52">
        <v>0</v>
      </c>
      <c r="F14" s="52">
        <v>1</v>
      </c>
      <c r="G14" s="7">
        <v>0</v>
      </c>
      <c r="H14" s="6">
        <v>0</v>
      </c>
      <c r="I14" s="52">
        <v>0</v>
      </c>
      <c r="J14" s="52">
        <v>0</v>
      </c>
      <c r="K14" s="52">
        <v>0</v>
      </c>
      <c r="L14" s="7">
        <v>0</v>
      </c>
      <c r="M14" s="6">
        <v>0</v>
      </c>
      <c r="N14" s="52">
        <v>0</v>
      </c>
      <c r="O14" s="52">
        <v>1</v>
      </c>
      <c r="P14" s="52">
        <v>0</v>
      </c>
      <c r="Q14" s="7">
        <v>0</v>
      </c>
      <c r="R14" s="6">
        <v>0</v>
      </c>
      <c r="S14" s="52">
        <v>2</v>
      </c>
      <c r="T14" s="52">
        <v>0</v>
      </c>
      <c r="U14" s="52">
        <v>0</v>
      </c>
      <c r="V14" s="7">
        <v>0</v>
      </c>
      <c r="W14" s="6">
        <v>0</v>
      </c>
      <c r="X14" s="52">
        <v>1</v>
      </c>
      <c r="Y14" s="52">
        <v>0</v>
      </c>
      <c r="Z14" s="52">
        <v>0</v>
      </c>
      <c r="AA14" s="7">
        <v>0</v>
      </c>
    </row>
    <row r="15" spans="1:27" outlineLevel="1" x14ac:dyDescent="0.25">
      <c r="A15" s="6" t="s">
        <v>65</v>
      </c>
      <c r="B15">
        <v>3</v>
      </c>
      <c r="C15" s="6">
        <v>6</v>
      </c>
      <c r="D15" s="52">
        <v>4</v>
      </c>
      <c r="E15" s="52">
        <v>9</v>
      </c>
      <c r="F15" s="52">
        <v>7</v>
      </c>
      <c r="G15" s="7">
        <v>7</v>
      </c>
      <c r="H15" s="6">
        <v>5</v>
      </c>
      <c r="I15" s="52">
        <v>8</v>
      </c>
      <c r="J15" s="52">
        <v>6</v>
      </c>
      <c r="K15" s="52">
        <v>4</v>
      </c>
      <c r="L15" s="7">
        <v>7</v>
      </c>
      <c r="M15" s="6">
        <v>7</v>
      </c>
      <c r="N15" s="52">
        <v>7</v>
      </c>
      <c r="O15" s="52">
        <v>6</v>
      </c>
      <c r="P15" s="52">
        <v>7</v>
      </c>
      <c r="Q15" s="7">
        <v>6</v>
      </c>
      <c r="R15" s="6">
        <v>6</v>
      </c>
      <c r="S15" s="52">
        <v>7</v>
      </c>
      <c r="T15" s="52">
        <v>6</v>
      </c>
      <c r="U15" s="52">
        <v>6</v>
      </c>
      <c r="V15" s="7">
        <v>6</v>
      </c>
      <c r="W15" s="6">
        <v>7</v>
      </c>
      <c r="X15" s="52">
        <v>6</v>
      </c>
      <c r="Y15" s="52">
        <v>7</v>
      </c>
      <c r="Z15" s="52">
        <v>5</v>
      </c>
      <c r="AA15" s="7">
        <v>5</v>
      </c>
    </row>
    <row r="16" spans="1:27" outlineLevel="1" x14ac:dyDescent="0.25">
      <c r="A16" s="6" t="s">
        <v>66</v>
      </c>
      <c r="B16">
        <v>-2</v>
      </c>
      <c r="C16" s="6">
        <v>0</v>
      </c>
      <c r="D16" s="52">
        <v>3</v>
      </c>
      <c r="E16" s="52">
        <v>1</v>
      </c>
      <c r="F16" s="52">
        <v>1</v>
      </c>
      <c r="G16" s="7">
        <v>0</v>
      </c>
      <c r="H16" s="6">
        <v>0</v>
      </c>
      <c r="I16" s="52">
        <v>0</v>
      </c>
      <c r="J16" s="52">
        <v>0</v>
      </c>
      <c r="K16" s="52">
        <v>1</v>
      </c>
      <c r="L16" s="7">
        <v>0</v>
      </c>
      <c r="M16" s="6">
        <v>1</v>
      </c>
      <c r="N16" s="52">
        <v>2</v>
      </c>
      <c r="O16" s="52">
        <v>3</v>
      </c>
      <c r="P16" s="52">
        <v>0</v>
      </c>
      <c r="Q16" s="7">
        <v>0</v>
      </c>
      <c r="R16" s="6">
        <v>0</v>
      </c>
      <c r="S16" s="52">
        <v>0</v>
      </c>
      <c r="T16" s="52">
        <v>0</v>
      </c>
      <c r="U16" s="52">
        <v>1</v>
      </c>
      <c r="V16" s="7">
        <v>2</v>
      </c>
      <c r="W16" s="6">
        <v>2</v>
      </c>
      <c r="X16" s="52">
        <v>1</v>
      </c>
      <c r="Y16" s="52">
        <v>0</v>
      </c>
      <c r="Z16" s="52">
        <v>0</v>
      </c>
      <c r="AA16" s="7">
        <v>2</v>
      </c>
    </row>
    <row r="17" spans="1:27" outlineLevel="1" x14ac:dyDescent="0.25">
      <c r="A17" s="6" t="s">
        <v>67</v>
      </c>
      <c r="B17">
        <v>-4</v>
      </c>
      <c r="C17" s="6">
        <v>0</v>
      </c>
      <c r="D17" s="52">
        <v>0</v>
      </c>
      <c r="E17" s="52">
        <v>0</v>
      </c>
      <c r="F17" s="52">
        <v>0</v>
      </c>
      <c r="G17" s="7">
        <v>1</v>
      </c>
      <c r="H17" s="6">
        <v>1</v>
      </c>
      <c r="I17" s="52">
        <v>0</v>
      </c>
      <c r="J17" s="52">
        <v>0</v>
      </c>
      <c r="K17" s="52">
        <v>0</v>
      </c>
      <c r="L17" s="7">
        <v>0</v>
      </c>
      <c r="M17" s="6">
        <v>0</v>
      </c>
      <c r="N17" s="52">
        <v>0</v>
      </c>
      <c r="O17" s="52">
        <v>0</v>
      </c>
      <c r="P17" s="52">
        <v>0</v>
      </c>
      <c r="Q17" s="7">
        <v>1</v>
      </c>
      <c r="R17" s="6">
        <v>0</v>
      </c>
      <c r="S17" s="52">
        <v>0</v>
      </c>
      <c r="T17" s="52">
        <v>0</v>
      </c>
      <c r="U17" s="52">
        <v>0</v>
      </c>
      <c r="V17" s="7">
        <v>0</v>
      </c>
      <c r="W17" s="6">
        <v>0</v>
      </c>
      <c r="X17" s="52">
        <v>0</v>
      </c>
      <c r="Y17" s="52">
        <v>0</v>
      </c>
      <c r="Z17" s="52">
        <v>0</v>
      </c>
      <c r="AA17" s="7">
        <v>1</v>
      </c>
    </row>
    <row r="18" spans="1:27" ht="15.75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thickBot="1" x14ac:dyDescent="0.3">
      <c r="C19" s="14">
        <f>(C13*$B13)+(C14*$B14)+(C15*$B15)+(C16*$B16)+(C17*$B17)+(C18*$B18)</f>
        <v>18</v>
      </c>
      <c r="D19" s="14">
        <f t="shared" ref="D19:AA19" si="1">(D13*$B13)+(D14*$B14)+(D15*$B15)+(D16*$B16)+(D17*$B17)+(D18*$B18)</f>
        <v>6</v>
      </c>
      <c r="E19" s="14">
        <f t="shared" si="1"/>
        <v>25</v>
      </c>
      <c r="F19" s="14">
        <f t="shared" si="1"/>
        <v>26</v>
      </c>
      <c r="G19" s="14">
        <f t="shared" si="1"/>
        <v>17</v>
      </c>
      <c r="H19" s="14">
        <f t="shared" si="1"/>
        <v>11</v>
      </c>
      <c r="I19" s="14">
        <f t="shared" si="1"/>
        <v>24</v>
      </c>
      <c r="J19" s="14">
        <f t="shared" si="1"/>
        <v>18</v>
      </c>
      <c r="K19" s="14">
        <f t="shared" si="1"/>
        <v>10</v>
      </c>
      <c r="L19" s="14">
        <f t="shared" si="1"/>
        <v>21</v>
      </c>
      <c r="M19" s="14">
        <f t="shared" si="1"/>
        <v>19</v>
      </c>
      <c r="N19" s="14">
        <f t="shared" si="1"/>
        <v>17</v>
      </c>
      <c r="O19" s="14">
        <f t="shared" si="1"/>
        <v>19</v>
      </c>
      <c r="P19" s="14">
        <f t="shared" si="1"/>
        <v>21</v>
      </c>
      <c r="Q19" s="15">
        <f t="shared" si="1"/>
        <v>14</v>
      </c>
      <c r="R19" s="14">
        <f t="shared" si="1"/>
        <v>18</v>
      </c>
      <c r="S19" s="14">
        <f t="shared" si="1"/>
        <v>35</v>
      </c>
      <c r="T19" s="14">
        <f t="shared" si="1"/>
        <v>18</v>
      </c>
      <c r="U19" s="14">
        <f t="shared" si="1"/>
        <v>16</v>
      </c>
      <c r="V19" s="15">
        <f t="shared" si="1"/>
        <v>14</v>
      </c>
      <c r="W19" s="14">
        <f t="shared" si="1"/>
        <v>17</v>
      </c>
      <c r="X19" s="14">
        <f t="shared" si="1"/>
        <v>23</v>
      </c>
      <c r="Y19" s="14">
        <f t="shared" si="1"/>
        <v>21</v>
      </c>
      <c r="Z19" s="14">
        <f t="shared" si="1"/>
        <v>15</v>
      </c>
      <c r="AA19" s="15">
        <f t="shared" si="1"/>
        <v>7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 s="52">
        <v>0</v>
      </c>
      <c r="E21" s="52">
        <v>0</v>
      </c>
      <c r="F21" s="52">
        <v>0</v>
      </c>
      <c r="G21" s="7">
        <v>0</v>
      </c>
      <c r="H21" s="6">
        <v>0</v>
      </c>
      <c r="I21" s="52">
        <v>0</v>
      </c>
      <c r="J21" s="52">
        <v>0</v>
      </c>
      <c r="K21" s="52">
        <v>0</v>
      </c>
      <c r="L21" s="7">
        <v>0</v>
      </c>
      <c r="M21" s="6">
        <v>0</v>
      </c>
      <c r="N21" s="52">
        <v>0</v>
      </c>
      <c r="O21" s="52">
        <v>0</v>
      </c>
      <c r="P21" s="52">
        <v>0</v>
      </c>
      <c r="Q21" s="7">
        <v>0</v>
      </c>
      <c r="R21" s="6">
        <v>0</v>
      </c>
      <c r="S21" s="52">
        <v>0</v>
      </c>
      <c r="T21" s="52">
        <v>0</v>
      </c>
      <c r="U21" s="52">
        <v>0</v>
      </c>
      <c r="V21" s="7">
        <v>0</v>
      </c>
      <c r="W21" s="6">
        <v>0</v>
      </c>
      <c r="X21" s="52">
        <v>0</v>
      </c>
      <c r="Y21" s="52">
        <v>0</v>
      </c>
      <c r="Z21" s="52">
        <v>0</v>
      </c>
      <c r="AA21" s="7">
        <v>0</v>
      </c>
    </row>
    <row r="22" spans="1:27" outlineLevel="1" x14ac:dyDescent="0.25">
      <c r="A22" s="6" t="s">
        <v>64</v>
      </c>
      <c r="B22">
        <v>7</v>
      </c>
      <c r="C22" s="6">
        <v>0</v>
      </c>
      <c r="D22" s="52">
        <v>0</v>
      </c>
      <c r="E22" s="52">
        <v>0</v>
      </c>
      <c r="F22" s="52">
        <v>0</v>
      </c>
      <c r="G22" s="7">
        <v>1</v>
      </c>
      <c r="H22" s="6">
        <v>0</v>
      </c>
      <c r="I22" s="52">
        <v>0</v>
      </c>
      <c r="J22" s="52">
        <v>0</v>
      </c>
      <c r="K22" s="52">
        <v>1</v>
      </c>
      <c r="L22" s="7">
        <v>1</v>
      </c>
      <c r="M22" s="6">
        <v>0</v>
      </c>
      <c r="N22" s="52">
        <v>0</v>
      </c>
      <c r="O22" s="52">
        <v>0</v>
      </c>
      <c r="P22" s="52">
        <v>0</v>
      </c>
      <c r="Q22" s="7">
        <v>0</v>
      </c>
      <c r="R22" s="6">
        <v>0</v>
      </c>
      <c r="S22" s="52">
        <v>0</v>
      </c>
      <c r="T22" s="52">
        <v>1</v>
      </c>
      <c r="U22" s="52">
        <v>0</v>
      </c>
      <c r="V22" s="7">
        <v>0</v>
      </c>
      <c r="W22" s="6">
        <v>1</v>
      </c>
      <c r="X22" s="52">
        <v>0</v>
      </c>
      <c r="Y22" s="52">
        <v>0</v>
      </c>
      <c r="Z22" s="52">
        <v>1</v>
      </c>
      <c r="AA22" s="7">
        <v>0</v>
      </c>
    </row>
    <row r="23" spans="1:27" outlineLevel="1" x14ac:dyDescent="0.25">
      <c r="A23" s="6" t="s">
        <v>65</v>
      </c>
      <c r="B23">
        <v>3</v>
      </c>
      <c r="C23" s="6">
        <v>4</v>
      </c>
      <c r="D23" s="52">
        <v>8</v>
      </c>
      <c r="E23" s="52">
        <v>5</v>
      </c>
      <c r="F23" s="52">
        <v>4</v>
      </c>
      <c r="G23" s="7">
        <v>5</v>
      </c>
      <c r="H23" s="6">
        <v>9</v>
      </c>
      <c r="I23" s="52">
        <v>8</v>
      </c>
      <c r="J23" s="52">
        <v>5</v>
      </c>
      <c r="K23" s="52">
        <v>5</v>
      </c>
      <c r="L23" s="7">
        <v>3</v>
      </c>
      <c r="M23" s="6">
        <v>6</v>
      </c>
      <c r="N23" s="52">
        <v>11</v>
      </c>
      <c r="O23" s="52">
        <v>7</v>
      </c>
      <c r="P23" s="52">
        <v>6</v>
      </c>
      <c r="Q23" s="7">
        <v>4</v>
      </c>
      <c r="R23" s="6">
        <v>4</v>
      </c>
      <c r="S23" s="52">
        <v>8</v>
      </c>
      <c r="T23" s="52">
        <v>4</v>
      </c>
      <c r="U23" s="52">
        <v>7</v>
      </c>
      <c r="V23" s="7">
        <v>1</v>
      </c>
      <c r="W23" s="6">
        <v>5</v>
      </c>
      <c r="X23" s="52">
        <v>8</v>
      </c>
      <c r="Y23" s="52">
        <v>8</v>
      </c>
      <c r="Z23" s="52">
        <v>4</v>
      </c>
      <c r="AA23" s="7">
        <v>7</v>
      </c>
    </row>
    <row r="24" spans="1:27" outlineLevel="1" x14ac:dyDescent="0.25">
      <c r="A24" s="6" t="s">
        <v>66</v>
      </c>
      <c r="B24">
        <v>-2</v>
      </c>
      <c r="C24" s="6">
        <v>2</v>
      </c>
      <c r="D24" s="52">
        <v>1</v>
      </c>
      <c r="E24" s="52">
        <v>0</v>
      </c>
      <c r="F24" s="52">
        <v>0</v>
      </c>
      <c r="G24" s="7">
        <v>2</v>
      </c>
      <c r="H24" s="6">
        <v>0</v>
      </c>
      <c r="I24" s="52">
        <v>2</v>
      </c>
      <c r="J24" s="52">
        <v>1</v>
      </c>
      <c r="K24" s="52">
        <v>0</v>
      </c>
      <c r="L24" s="7">
        <v>2</v>
      </c>
      <c r="M24" s="6">
        <v>1</v>
      </c>
      <c r="N24" s="52">
        <v>0</v>
      </c>
      <c r="O24" s="52">
        <v>2</v>
      </c>
      <c r="P24" s="52">
        <v>3</v>
      </c>
      <c r="Q24" s="7">
        <v>1</v>
      </c>
      <c r="R24" s="6">
        <v>1</v>
      </c>
      <c r="S24" s="52">
        <v>1</v>
      </c>
      <c r="T24" s="52">
        <v>0</v>
      </c>
      <c r="U24" s="52">
        <v>1</v>
      </c>
      <c r="V24" s="7">
        <v>3</v>
      </c>
      <c r="W24" s="6">
        <v>0</v>
      </c>
      <c r="X24" s="52">
        <v>0</v>
      </c>
      <c r="Y24" s="52">
        <v>2</v>
      </c>
      <c r="Z24" s="52">
        <v>1</v>
      </c>
      <c r="AA24" s="7">
        <v>1</v>
      </c>
    </row>
    <row r="25" spans="1:27" outlineLevel="1" x14ac:dyDescent="0.25">
      <c r="A25" s="6" t="s">
        <v>67</v>
      </c>
      <c r="B25">
        <v>-4</v>
      </c>
      <c r="C25" s="6">
        <v>0</v>
      </c>
      <c r="D25" s="52">
        <v>0</v>
      </c>
      <c r="E25" s="52">
        <v>0</v>
      </c>
      <c r="F25" s="52">
        <v>0</v>
      </c>
      <c r="G25" s="7">
        <v>0</v>
      </c>
      <c r="H25" s="6">
        <v>0</v>
      </c>
      <c r="I25" s="52">
        <v>0</v>
      </c>
      <c r="J25" s="52">
        <v>0</v>
      </c>
      <c r="K25" s="52">
        <v>0</v>
      </c>
      <c r="L25" s="7">
        <v>0</v>
      </c>
      <c r="M25" s="6">
        <v>0</v>
      </c>
      <c r="N25" s="52">
        <v>0</v>
      </c>
      <c r="O25" s="52">
        <v>0</v>
      </c>
      <c r="P25" s="52">
        <v>2</v>
      </c>
      <c r="Q25" s="7">
        <v>0</v>
      </c>
      <c r="R25" s="6">
        <v>0</v>
      </c>
      <c r="S25" s="52">
        <v>0</v>
      </c>
      <c r="T25" s="52">
        <v>0</v>
      </c>
      <c r="U25" s="52">
        <v>1</v>
      </c>
      <c r="V25" s="7">
        <v>1</v>
      </c>
      <c r="W25" s="6">
        <v>0</v>
      </c>
      <c r="X25" s="52">
        <v>0</v>
      </c>
      <c r="Y25" s="52">
        <v>0</v>
      </c>
      <c r="Z25" s="52">
        <v>1</v>
      </c>
      <c r="AA25" s="7">
        <v>0</v>
      </c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>
        <v>0</v>
      </c>
      <c r="H26" s="11">
        <v>0</v>
      </c>
      <c r="I26" s="12">
        <v>0</v>
      </c>
      <c r="J26" s="12">
        <v>0</v>
      </c>
      <c r="K26" s="12">
        <v>0</v>
      </c>
      <c r="L26" s="13">
        <v>0</v>
      </c>
      <c r="M26" s="11">
        <v>0</v>
      </c>
      <c r="N26" s="12">
        <v>0</v>
      </c>
      <c r="O26" s="12">
        <v>0</v>
      </c>
      <c r="P26" s="12">
        <v>0</v>
      </c>
      <c r="Q26" s="13">
        <v>0</v>
      </c>
      <c r="R26" s="11">
        <v>0</v>
      </c>
      <c r="S26" s="12">
        <v>0</v>
      </c>
      <c r="T26" s="12">
        <v>0</v>
      </c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>
        <v>0</v>
      </c>
      <c r="AA26" s="13">
        <v>0</v>
      </c>
    </row>
    <row r="27" spans="1:27" ht="15.75" thickBot="1" x14ac:dyDescent="0.3">
      <c r="C27" s="14">
        <f>(C21*$B21)+(C22*$B22)+(C23*$B23)+(C24*$B24)+(C25*$B25)+(C26*$B26)</f>
        <v>8</v>
      </c>
      <c r="D27" s="14">
        <f t="shared" ref="D27:AA27" si="2">(D21*$B21)+(D22*$B22)+(D23*$B23)+(D24*$B24)+(D25*$B25)+(D26*$B26)</f>
        <v>22</v>
      </c>
      <c r="E27" s="14">
        <f t="shared" si="2"/>
        <v>15</v>
      </c>
      <c r="F27" s="14">
        <f t="shared" si="2"/>
        <v>12</v>
      </c>
      <c r="G27" s="14">
        <f t="shared" si="2"/>
        <v>18</v>
      </c>
      <c r="H27" s="14">
        <f t="shared" si="2"/>
        <v>27</v>
      </c>
      <c r="I27" s="14">
        <f t="shared" si="2"/>
        <v>20</v>
      </c>
      <c r="J27" s="14">
        <f t="shared" si="2"/>
        <v>13</v>
      </c>
      <c r="K27" s="14">
        <f t="shared" si="2"/>
        <v>22</v>
      </c>
      <c r="L27" s="14">
        <f t="shared" si="2"/>
        <v>12</v>
      </c>
      <c r="M27" s="14">
        <f t="shared" si="2"/>
        <v>16</v>
      </c>
      <c r="N27" s="14">
        <f t="shared" si="2"/>
        <v>33</v>
      </c>
      <c r="O27" s="14">
        <f t="shared" si="2"/>
        <v>17</v>
      </c>
      <c r="P27" s="14">
        <f t="shared" si="2"/>
        <v>4</v>
      </c>
      <c r="Q27" s="15">
        <f t="shared" si="2"/>
        <v>10</v>
      </c>
      <c r="R27" s="14">
        <f t="shared" si="2"/>
        <v>10</v>
      </c>
      <c r="S27" s="14">
        <f t="shared" si="2"/>
        <v>22</v>
      </c>
      <c r="T27" s="14">
        <f t="shared" si="2"/>
        <v>19</v>
      </c>
      <c r="U27" s="14">
        <f t="shared" si="2"/>
        <v>15</v>
      </c>
      <c r="V27" s="15">
        <f t="shared" si="2"/>
        <v>-7</v>
      </c>
      <c r="W27" s="14">
        <f t="shared" si="2"/>
        <v>22</v>
      </c>
      <c r="X27" s="14">
        <f t="shared" si="2"/>
        <v>24</v>
      </c>
      <c r="Y27" s="14">
        <f t="shared" si="2"/>
        <v>20</v>
      </c>
      <c r="Z27" s="14">
        <f t="shared" si="2"/>
        <v>13</v>
      </c>
      <c r="AA27" s="15">
        <f t="shared" si="2"/>
        <v>19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E29" s="52">
        <v>0</v>
      </c>
      <c r="F29" s="52">
        <v>0</v>
      </c>
      <c r="G29" s="7"/>
      <c r="H29" s="6">
        <v>0</v>
      </c>
      <c r="I29" s="52">
        <v>0</v>
      </c>
      <c r="J29" s="52">
        <v>0</v>
      </c>
      <c r="K29" s="52">
        <v>0</v>
      </c>
      <c r="L29" s="7">
        <v>0</v>
      </c>
      <c r="M29" s="6">
        <v>0</v>
      </c>
      <c r="N29" s="52">
        <v>0</v>
      </c>
      <c r="O29" s="52">
        <v>0</v>
      </c>
      <c r="Q29" s="7">
        <v>0</v>
      </c>
      <c r="R29" s="6">
        <v>0</v>
      </c>
      <c r="S29" s="52">
        <v>0</v>
      </c>
      <c r="T29" s="52">
        <v>0</v>
      </c>
      <c r="V29" s="7"/>
      <c r="W29" s="6">
        <v>0</v>
      </c>
      <c r="X29" s="52">
        <v>0</v>
      </c>
      <c r="Y29" s="52">
        <v>0</v>
      </c>
      <c r="AA29" s="7"/>
    </row>
    <row r="30" spans="1:27" outlineLevel="1" x14ac:dyDescent="0.25">
      <c r="A30" s="6" t="s">
        <v>64</v>
      </c>
      <c r="B30">
        <v>7</v>
      </c>
      <c r="C30" s="6">
        <v>0</v>
      </c>
      <c r="E30" s="52">
        <v>0</v>
      </c>
      <c r="F30" s="52">
        <v>0</v>
      </c>
      <c r="G30" s="7"/>
      <c r="H30" s="6">
        <v>0</v>
      </c>
      <c r="I30" s="52">
        <v>0</v>
      </c>
      <c r="J30" s="52">
        <v>0</v>
      </c>
      <c r="K30" s="52">
        <v>0</v>
      </c>
      <c r="L30" s="7">
        <v>0</v>
      </c>
      <c r="M30" s="6">
        <v>0</v>
      </c>
      <c r="N30" s="52">
        <v>0</v>
      </c>
      <c r="O30" s="52">
        <v>0</v>
      </c>
      <c r="Q30" s="7">
        <v>0</v>
      </c>
      <c r="R30" s="6">
        <v>0</v>
      </c>
      <c r="S30" s="52">
        <v>0</v>
      </c>
      <c r="T30" s="52">
        <v>0</v>
      </c>
      <c r="V30" s="7"/>
      <c r="W30" s="6">
        <v>0</v>
      </c>
      <c r="X30" s="52">
        <v>0</v>
      </c>
      <c r="Y30" s="52">
        <v>0</v>
      </c>
      <c r="AA30" s="7"/>
    </row>
    <row r="31" spans="1:27" outlineLevel="1" x14ac:dyDescent="0.25">
      <c r="A31" s="6" t="s">
        <v>65</v>
      </c>
      <c r="B31">
        <v>3</v>
      </c>
      <c r="C31" s="6">
        <v>7</v>
      </c>
      <c r="E31" s="52">
        <v>5</v>
      </c>
      <c r="F31" s="52">
        <v>6</v>
      </c>
      <c r="G31" s="7"/>
      <c r="H31" s="6">
        <v>8</v>
      </c>
      <c r="I31" s="52">
        <v>4</v>
      </c>
      <c r="J31" s="52">
        <v>7</v>
      </c>
      <c r="K31" s="52">
        <v>5</v>
      </c>
      <c r="L31" s="7">
        <v>9</v>
      </c>
      <c r="M31" s="6">
        <v>1</v>
      </c>
      <c r="N31" s="52">
        <v>5</v>
      </c>
      <c r="O31" s="52">
        <v>8</v>
      </c>
      <c r="Q31" s="7">
        <v>6</v>
      </c>
      <c r="R31" s="6">
        <v>7</v>
      </c>
      <c r="S31" s="52">
        <v>5</v>
      </c>
      <c r="T31" s="52">
        <v>8</v>
      </c>
      <c r="V31" s="7"/>
      <c r="W31" s="6">
        <v>3</v>
      </c>
      <c r="X31" s="52">
        <v>3</v>
      </c>
      <c r="Y31" s="52">
        <v>6</v>
      </c>
      <c r="AA31" s="7"/>
    </row>
    <row r="32" spans="1:27" outlineLevel="1" x14ac:dyDescent="0.25">
      <c r="A32" s="6" t="s">
        <v>66</v>
      </c>
      <c r="B32">
        <v>-2</v>
      </c>
      <c r="C32" s="6">
        <v>0</v>
      </c>
      <c r="E32" s="52">
        <v>3</v>
      </c>
      <c r="F32" s="52">
        <v>3</v>
      </c>
      <c r="G32" s="7"/>
      <c r="H32" s="6">
        <v>1</v>
      </c>
      <c r="I32" s="52">
        <v>2</v>
      </c>
      <c r="J32" s="52">
        <v>1</v>
      </c>
      <c r="K32" s="52">
        <v>4</v>
      </c>
      <c r="L32" s="7">
        <v>1</v>
      </c>
      <c r="M32" s="6">
        <v>3</v>
      </c>
      <c r="N32" s="52">
        <v>1</v>
      </c>
      <c r="O32" s="52">
        <v>1</v>
      </c>
      <c r="Q32" s="7">
        <v>0</v>
      </c>
      <c r="R32" s="6">
        <v>0</v>
      </c>
      <c r="S32" s="52">
        <v>0</v>
      </c>
      <c r="T32" s="52">
        <v>3</v>
      </c>
      <c r="V32" s="7"/>
      <c r="W32" s="6">
        <v>0</v>
      </c>
      <c r="X32" s="52">
        <v>0</v>
      </c>
      <c r="Y32" s="52">
        <v>1</v>
      </c>
      <c r="AA32" s="7"/>
    </row>
    <row r="33" spans="1:27" outlineLevel="1" x14ac:dyDescent="0.25">
      <c r="A33" s="6" t="s">
        <v>67</v>
      </c>
      <c r="B33">
        <v>-4</v>
      </c>
      <c r="C33" s="6">
        <v>1</v>
      </c>
      <c r="E33" s="52">
        <v>0</v>
      </c>
      <c r="F33" s="52">
        <v>0</v>
      </c>
      <c r="G33" s="7"/>
      <c r="H33" s="6">
        <v>0</v>
      </c>
      <c r="I33" s="52">
        <v>1</v>
      </c>
      <c r="J33" s="52">
        <v>1</v>
      </c>
      <c r="K33" s="52">
        <v>1</v>
      </c>
      <c r="L33" s="7">
        <v>1</v>
      </c>
      <c r="M33" s="6">
        <v>1</v>
      </c>
      <c r="N33" s="52">
        <v>0</v>
      </c>
      <c r="O33" s="52">
        <v>1</v>
      </c>
      <c r="Q33" s="7">
        <v>0</v>
      </c>
      <c r="R33" s="6">
        <v>0</v>
      </c>
      <c r="S33" s="52">
        <v>2</v>
      </c>
      <c r="T33" s="52">
        <v>1</v>
      </c>
      <c r="V33" s="7"/>
      <c r="W33" s="6">
        <v>1</v>
      </c>
      <c r="X33" s="52">
        <v>0</v>
      </c>
      <c r="Y33" s="52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/>
      <c r="E34" s="12">
        <v>1</v>
      </c>
      <c r="F34" s="12">
        <v>0</v>
      </c>
      <c r="G34" s="13"/>
      <c r="H34" s="11">
        <v>0</v>
      </c>
      <c r="I34" s="12">
        <v>0</v>
      </c>
      <c r="J34" s="12">
        <v>0</v>
      </c>
      <c r="K34" s="12">
        <v>0</v>
      </c>
      <c r="L34" s="13">
        <v>0</v>
      </c>
      <c r="M34" s="11">
        <v>0</v>
      </c>
      <c r="N34" s="12">
        <v>0</v>
      </c>
      <c r="O34" s="12">
        <v>0</v>
      </c>
      <c r="P34" s="12"/>
      <c r="Q34" s="13">
        <v>1</v>
      </c>
      <c r="R34" s="11">
        <v>0</v>
      </c>
      <c r="S34" s="12">
        <v>0</v>
      </c>
      <c r="T34" s="12">
        <v>1</v>
      </c>
      <c r="U34" s="12"/>
      <c r="V34" s="13"/>
      <c r="W34" s="11">
        <v>0</v>
      </c>
      <c r="X34" s="12">
        <v>0</v>
      </c>
      <c r="Y34" s="12">
        <v>0</v>
      </c>
      <c r="Z34" s="12"/>
      <c r="AA34" s="13"/>
    </row>
    <row r="35" spans="1:27" ht="15.75" thickBot="1" x14ac:dyDescent="0.3">
      <c r="C35" s="14">
        <f>(C29*$B29)+(C30*$B30)+(C31*$B31)+(C32*$B32)+(C33*$B33)+(C34*$B34)</f>
        <v>17</v>
      </c>
      <c r="D35" s="14">
        <f t="shared" ref="D35:AA35" si="3">(D29*$B29)+(D30*$B30)+(D31*$B31)+(D32*$B32)+(D33*$B33)+(D34*$B34)</f>
        <v>0</v>
      </c>
      <c r="E35" s="14">
        <f t="shared" si="3"/>
        <v>3</v>
      </c>
      <c r="F35" s="14">
        <f t="shared" si="3"/>
        <v>12</v>
      </c>
      <c r="G35" s="14">
        <f t="shared" si="3"/>
        <v>0</v>
      </c>
      <c r="H35" s="14">
        <f t="shared" si="3"/>
        <v>22</v>
      </c>
      <c r="I35" s="14">
        <f t="shared" si="3"/>
        <v>4</v>
      </c>
      <c r="J35" s="14">
        <f t="shared" si="3"/>
        <v>15</v>
      </c>
      <c r="K35" s="14">
        <f t="shared" si="3"/>
        <v>3</v>
      </c>
      <c r="L35" s="14">
        <f t="shared" si="3"/>
        <v>21</v>
      </c>
      <c r="M35" s="14">
        <f t="shared" si="3"/>
        <v>-7</v>
      </c>
      <c r="N35" s="14">
        <f t="shared" si="3"/>
        <v>13</v>
      </c>
      <c r="O35" s="14">
        <f t="shared" si="3"/>
        <v>18</v>
      </c>
      <c r="P35" s="14">
        <f t="shared" si="3"/>
        <v>0</v>
      </c>
      <c r="Q35" s="15">
        <f t="shared" si="3"/>
        <v>12</v>
      </c>
      <c r="R35" s="14">
        <f t="shared" si="3"/>
        <v>21</v>
      </c>
      <c r="S35" s="14">
        <f t="shared" si="3"/>
        <v>7</v>
      </c>
      <c r="T35" s="14">
        <f t="shared" si="3"/>
        <v>8</v>
      </c>
      <c r="U35" s="14">
        <f t="shared" si="3"/>
        <v>0</v>
      </c>
      <c r="V35" s="15">
        <f t="shared" si="3"/>
        <v>0</v>
      </c>
      <c r="W35" s="14">
        <f t="shared" si="3"/>
        <v>5</v>
      </c>
      <c r="X35" s="14">
        <f t="shared" si="3"/>
        <v>9</v>
      </c>
      <c r="Y35" s="14">
        <f t="shared" si="3"/>
        <v>16</v>
      </c>
      <c r="Z35" s="14">
        <f t="shared" si="3"/>
        <v>0</v>
      </c>
      <c r="AA35" s="15">
        <f t="shared" si="3"/>
        <v>0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>
        <v>1</v>
      </c>
      <c r="L39" s="7"/>
      <c r="M39" s="6"/>
      <c r="N39">
        <v>1</v>
      </c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S42">
        <v>1</v>
      </c>
      <c r="V42" s="7"/>
      <c r="W42" s="6"/>
      <c r="Y42">
        <v>1</v>
      </c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Q47" s="7"/>
      <c r="R47" s="6"/>
      <c r="V47" s="7"/>
      <c r="W47" s="6"/>
      <c r="X47">
        <v>1</v>
      </c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L48" s="7"/>
      <c r="M48" s="6"/>
      <c r="Q48" s="7"/>
      <c r="R48" s="6">
        <v>1</v>
      </c>
      <c r="V48" s="7"/>
      <c r="W48" s="6"/>
      <c r="AA48" s="7"/>
    </row>
    <row r="49" spans="1:27" outlineLevel="1" x14ac:dyDescent="0.25">
      <c r="A49" s="6" t="s">
        <v>85</v>
      </c>
      <c r="B49">
        <v>4</v>
      </c>
      <c r="C49" s="6">
        <v>1</v>
      </c>
      <c r="G49" s="7"/>
      <c r="H49" s="6"/>
      <c r="I49">
        <v>1</v>
      </c>
      <c r="L49" s="7">
        <v>1</v>
      </c>
      <c r="M49" s="6"/>
      <c r="O49">
        <v>1</v>
      </c>
      <c r="Q49" s="7"/>
      <c r="R49" s="6"/>
      <c r="T49">
        <v>1</v>
      </c>
      <c r="V49" s="7"/>
      <c r="W49" s="6">
        <v>1</v>
      </c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Q50" s="7"/>
      <c r="R50" s="6"/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/>
      <c r="F51">
        <v>1</v>
      </c>
      <c r="G51" s="7"/>
      <c r="H51" s="6"/>
      <c r="J51">
        <v>1</v>
      </c>
      <c r="L51" s="7"/>
      <c r="M51" s="6"/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>
        <v>1</v>
      </c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>
        <v>1</v>
      </c>
      <c r="R52" s="11"/>
      <c r="S52" s="12"/>
      <c r="T52" s="12"/>
      <c r="U52" s="12"/>
      <c r="V52" s="13"/>
      <c r="W52" s="11"/>
      <c r="X52" s="12"/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D55">
        <v>1</v>
      </c>
      <c r="G55" s="7">
        <v>1</v>
      </c>
      <c r="H55" s="6"/>
      <c r="L55" s="7"/>
      <c r="P55">
        <v>1</v>
      </c>
      <c r="Q55" s="7"/>
      <c r="U55">
        <v>1</v>
      </c>
      <c r="V55" s="7">
        <v>1</v>
      </c>
      <c r="Z55">
        <v>1</v>
      </c>
      <c r="AA55" s="7">
        <v>1</v>
      </c>
    </row>
    <row r="56" spans="1:27" outlineLevel="1" x14ac:dyDescent="0.25">
      <c r="A56" s="6" t="s">
        <v>115</v>
      </c>
      <c r="B56">
        <v>5</v>
      </c>
      <c r="C56" s="6">
        <v>1</v>
      </c>
      <c r="E56">
        <v>1</v>
      </c>
      <c r="F56">
        <v>1</v>
      </c>
      <c r="G56" s="7"/>
      <c r="H56" s="6">
        <v>2</v>
      </c>
      <c r="I56">
        <v>1</v>
      </c>
      <c r="J56">
        <v>1</v>
      </c>
      <c r="L56" s="7">
        <v>2</v>
      </c>
      <c r="M56" s="52">
        <v>1</v>
      </c>
      <c r="N56">
        <v>1</v>
      </c>
      <c r="O56">
        <v>1</v>
      </c>
      <c r="Q56" s="7">
        <v>1</v>
      </c>
      <c r="R56">
        <v>2</v>
      </c>
      <c r="S56">
        <v>1</v>
      </c>
      <c r="T56">
        <v>2</v>
      </c>
      <c r="V56" s="7"/>
      <c r="X56">
        <v>2</v>
      </c>
      <c r="Y56">
        <v>1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74</v>
      </c>
      <c r="D59" s="16" cm="1">
        <f t="array" ref="D59">SUM(D11,D19,D27,D35,(D37:D52)*($B37:$B52),((D55*$B55)+(D56*$B56)+(D57*$B57)))</f>
        <v>32</v>
      </c>
      <c r="E59" s="16" cm="1">
        <f t="array" ref="E59">SUM(E11,E19,E27,E35,(E37:E52)*($B37:$B52),((E55*$B55)+(E56*$B56)+(E57*$B57)))</f>
        <v>64</v>
      </c>
      <c r="F59" s="16" cm="1">
        <f t="array" ref="F59">SUM(F11,F19,F27,F35,(F37:F52)*($B37:$B52),((F55*$B55)+(F56*$B56)+(F57*$B57)))</f>
        <v>67</v>
      </c>
      <c r="G59" s="16" cm="1">
        <f t="array" ref="G59">SUM(G11,G19,G27,G35,(G37:G52)*($B37:$B52),((G55*$B55)+(G56*$B56)+(G57*$B57)))</f>
        <v>41</v>
      </c>
      <c r="H59" s="16" cm="1">
        <f t="array" ref="H59">SUM(H11,H19,H27,H35,(H37:H52)*($B37:$B52),((H55*$B55)+(H56*$B56)+(H57*$B57)))</f>
        <v>125</v>
      </c>
      <c r="I59" s="16" cm="1">
        <f t="array" ref="I59">SUM(I11,I19,I27,I35,(I37:I52)*($B37:$B52),((I55*$B55)+(I56*$B56)+(I57*$B57)))</f>
        <v>77</v>
      </c>
      <c r="J59" s="16" cm="1">
        <f t="array" ref="J59">SUM(J11,J19,J27,J35,(J37:J52)*($B37:$B52),((J55*$B55)+(J56*$B56)+(J57*$B57)))</f>
        <v>69</v>
      </c>
      <c r="K59" s="16" cm="1">
        <f t="array" ref="K59">SUM(K11,K19,K27,K35,(K37:K52)*($B37:$B52),((K55*$B55)+(K56*$B56)+(K57*$B57)))</f>
        <v>48</v>
      </c>
      <c r="L59" s="16" cm="1">
        <f t="array" ref="L59">SUM(L11,L19,L27,L35,(L37:L52)*($B37:$B52),((L55*$B55)+(L56*$B56)+(L57*$B57)))</f>
        <v>77</v>
      </c>
      <c r="M59" s="16" cm="1">
        <f t="array" ref="M59">SUM(M11,M19,M27,M35,(M37:M52)*($B37:$B52),((M55*$B55)+(M56*$B56)+(M57*$B57)))</f>
        <v>57</v>
      </c>
      <c r="N59" s="16" cm="1">
        <f t="array" ref="N59">SUM(N11,N19,N27,N35,(N37:N52)*($B37:$B52),((N55*$B55)+(N56*$B56)+(N57*$B57)))</f>
        <v>120</v>
      </c>
      <c r="O59" s="16" cm="1">
        <f t="array" ref="O59">SUM(O11,O19,O27,O35,(O37:O52)*($B37:$B52),((O55*$B55)+(O56*$B56)+(O57*$B57)))</f>
        <v>75</v>
      </c>
      <c r="P59" s="16" cm="1">
        <f t="array" ref="P59">SUM(P11,P19,P27,P35,(P37:P52)*($B37:$B52),((P55*$B55)+(P56*$B56)+(P57*$B57)))</f>
        <v>30</v>
      </c>
      <c r="Q59" s="16" cm="1">
        <f t="array" ref="Q59">SUM(Q11,Q19,Q27,Q35,(Q37:Q52)*($B37:$B52),((Q55*$B55)+(Q56*$B56)+(Q57*$B57)))</f>
        <v>60</v>
      </c>
      <c r="R59" s="16" cm="1">
        <f t="array" ref="R59">SUM(R11,R19,R27,R35,(R37:R52)*($B37:$B52),((R55*$B55)+(R56*$B56)+(R57*$B57)))</f>
        <v>80</v>
      </c>
      <c r="S59" s="16" cm="1">
        <f t="array" ref="S59">SUM(S11,S19,S27,S35,(S37:S52)*($B37:$B52),((S55*$B55)+(S56*$B56)+(S57*$B57)))</f>
        <v>103</v>
      </c>
      <c r="T59" s="16" cm="1">
        <f t="array" ref="T59">SUM(T11,T19,T27,T35,(T37:T52)*($B37:$B52),((T55*$B55)+(T56*$B56)+(T57*$B57)))</f>
        <v>84</v>
      </c>
      <c r="U59" s="16" cm="1">
        <f t="array" ref="U59">SUM(U11,U19,U27,U35,(U37:U52)*($B37:$B52),((U55*$B55)+(U56*$B56)+(U57*$B57)))</f>
        <v>33</v>
      </c>
      <c r="V59" s="16" cm="1">
        <f t="array" ref="V59">SUM(V11,V19,V27,V35,(V37:V52)*($B37:$B52),((V55*$B55)+(V56*$B56)+(V57*$B57)))</f>
        <v>9</v>
      </c>
      <c r="W59" s="16" cm="1">
        <f t="array" ref="W59">SUM(W11,W19,W27,W35,(W37:W52)*($B37:$B52),((W55*$B55)+(W56*$B56)+(W57*$B57)))</f>
        <v>67</v>
      </c>
      <c r="X59" s="16" cm="1">
        <f t="array" ref="X59">SUM(X11,X19,X27,X35,(X37:X52)*($B37:$B52),((X55*$B55)+(X56*$B56)+(X57*$B57)))</f>
        <v>93</v>
      </c>
      <c r="Y59" s="16" cm="1">
        <f t="array" ref="Y59">SUM(Y11,Y19,Y27,Y35,(Y37:Y52)*($B37:$B52),((Y55*$B55)+(Y56*$B56)+(Y57*$B57)))</f>
        <v>100</v>
      </c>
      <c r="Z59" s="16" cm="1">
        <f t="array" ref="Z59">SUM(Z11,Z19,Z27,Z35,(Z37:Z52)*($B37:$B52),((Z55*$B55)+(Z56*$B56)+(Z57*$B57)))</f>
        <v>43</v>
      </c>
      <c r="AA59" s="16" cm="1">
        <f t="array" ref="AA59">SUM(AA11,AA19,AA27,AA35,(AA37:AA52)*($B37:$B52),((AA55*$B55)+(AA56*$B56)+(AA57*$B57)))</f>
        <v>30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278</v>
      </c>
      <c r="D61" s="18"/>
      <c r="E61" s="18"/>
      <c r="F61" s="18"/>
      <c r="G61" s="19"/>
      <c r="H61" s="17">
        <f>SUM(H59:L59)</f>
        <v>396</v>
      </c>
      <c r="I61" s="18"/>
      <c r="J61" s="18"/>
      <c r="K61" s="18"/>
      <c r="L61" s="19"/>
      <c r="M61" s="17">
        <f>SUM(M59:Q59)</f>
        <v>342</v>
      </c>
      <c r="N61" s="18"/>
      <c r="O61" s="18"/>
      <c r="P61" s="18"/>
      <c r="Q61" s="19"/>
      <c r="R61" s="17">
        <f>SUM(R59:V59)</f>
        <v>309</v>
      </c>
      <c r="S61" s="18"/>
      <c r="T61" s="18"/>
      <c r="U61" s="18"/>
      <c r="V61" s="19"/>
      <c r="W61" s="17">
        <f>SUM(W59:AA59)</f>
        <v>333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F646-92D3-4A6A-BA53-03468843C511}">
  <sheetPr codeName="Sheet16">
    <tabColor theme="0"/>
  </sheetPr>
  <dimension ref="A1:AA61"/>
  <sheetViews>
    <sheetView topLeftCell="A21" zoomScale="70" zoomScaleNormal="70" workbookViewId="0">
      <selection activeCell="H56" sqref="H56"/>
    </sheetView>
  </sheetViews>
  <sheetFormatPr defaultRowHeight="15" outlineLevelRow="1" x14ac:dyDescent="0.25"/>
  <sheetData>
    <row r="1" spans="1:27" ht="15.75" thickBot="1" x14ac:dyDescent="0.3">
      <c r="A1" t="s">
        <v>215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192</v>
      </c>
      <c r="D2" s="4" t="s">
        <v>193</v>
      </c>
      <c r="E2" s="4" t="s">
        <v>157</v>
      </c>
      <c r="F2" s="4" t="s">
        <v>124</v>
      </c>
      <c r="G2" s="5" t="s">
        <v>201</v>
      </c>
      <c r="H2" s="44" t="s">
        <v>204</v>
      </c>
      <c r="I2" s="4" t="s">
        <v>174</v>
      </c>
      <c r="J2" s="42" t="s">
        <v>170</v>
      </c>
      <c r="K2" s="4" t="s">
        <v>162</v>
      </c>
      <c r="L2" t="s">
        <v>54</v>
      </c>
      <c r="M2" t="s">
        <v>123</v>
      </c>
      <c r="N2" s="42" t="s">
        <v>52</v>
      </c>
      <c r="O2" s="4" t="s">
        <v>195</v>
      </c>
      <c r="P2" s="4" t="s">
        <v>194</v>
      </c>
      <c r="Q2" s="5" t="s">
        <v>53</v>
      </c>
      <c r="R2" s="3" t="s">
        <v>211</v>
      </c>
      <c r="S2" s="4" t="s">
        <v>144</v>
      </c>
      <c r="T2" s="4" t="s">
        <v>107</v>
      </c>
      <c r="U2" s="4" t="s">
        <v>141</v>
      </c>
      <c r="V2" s="5" t="s">
        <v>214</v>
      </c>
      <c r="W2" s="3" t="s">
        <v>191</v>
      </c>
      <c r="X2" s="4" t="s">
        <v>109</v>
      </c>
      <c r="Y2" s="4" t="s">
        <v>96</v>
      </c>
      <c r="Z2" s="42" t="s">
        <v>98</v>
      </c>
      <c r="AA2" s="5" t="s">
        <v>127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x14ac:dyDescent="0.25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0</v>
      </c>
      <c r="H6" s="6">
        <v>0</v>
      </c>
      <c r="I6">
        <v>0</v>
      </c>
      <c r="J6">
        <v>0</v>
      </c>
      <c r="K6">
        <v>0</v>
      </c>
      <c r="L6" s="7">
        <v>0</v>
      </c>
      <c r="M6" s="6">
        <v>0</v>
      </c>
      <c r="N6">
        <v>1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1</v>
      </c>
      <c r="Z6">
        <v>0</v>
      </c>
      <c r="AA6" s="7">
        <v>1</v>
      </c>
    </row>
    <row r="7" spans="1:27" outlineLevel="1" x14ac:dyDescent="0.25">
      <c r="A7" s="6" t="s">
        <v>65</v>
      </c>
      <c r="B7">
        <v>3</v>
      </c>
      <c r="C7" s="6">
        <v>3</v>
      </c>
      <c r="D7">
        <v>3</v>
      </c>
      <c r="E7">
        <v>4</v>
      </c>
      <c r="F7">
        <v>1</v>
      </c>
      <c r="G7" s="7">
        <v>5</v>
      </c>
      <c r="H7" s="6">
        <v>3</v>
      </c>
      <c r="I7">
        <v>4</v>
      </c>
      <c r="J7">
        <v>3</v>
      </c>
      <c r="K7">
        <v>6</v>
      </c>
      <c r="L7" s="7">
        <v>2</v>
      </c>
      <c r="M7" s="6">
        <v>4</v>
      </c>
      <c r="N7">
        <v>1</v>
      </c>
      <c r="O7">
        <v>6</v>
      </c>
      <c r="P7">
        <v>4</v>
      </c>
      <c r="Q7" s="7">
        <v>9</v>
      </c>
      <c r="R7" s="6">
        <v>2</v>
      </c>
      <c r="S7">
        <v>4</v>
      </c>
      <c r="T7">
        <v>5</v>
      </c>
      <c r="U7">
        <v>2</v>
      </c>
      <c r="V7" s="7">
        <v>4</v>
      </c>
      <c r="W7" s="6">
        <v>4</v>
      </c>
      <c r="X7">
        <v>4</v>
      </c>
      <c r="Y7">
        <v>3</v>
      </c>
      <c r="Z7">
        <v>4</v>
      </c>
      <c r="AA7" s="7">
        <v>1</v>
      </c>
    </row>
    <row r="8" spans="1:27" outlineLevel="1" x14ac:dyDescent="0.25">
      <c r="A8" s="6" t="s">
        <v>66</v>
      </c>
      <c r="B8">
        <v>-2</v>
      </c>
      <c r="C8" s="6">
        <v>2</v>
      </c>
      <c r="D8">
        <v>3</v>
      </c>
      <c r="E8">
        <v>2</v>
      </c>
      <c r="F8">
        <v>2</v>
      </c>
      <c r="G8" s="7">
        <v>2</v>
      </c>
      <c r="H8" s="6">
        <v>2</v>
      </c>
      <c r="I8">
        <v>0</v>
      </c>
      <c r="J8">
        <v>2</v>
      </c>
      <c r="K8">
        <v>3</v>
      </c>
      <c r="L8" s="7">
        <v>2</v>
      </c>
      <c r="M8" s="6">
        <v>2</v>
      </c>
      <c r="N8">
        <v>5</v>
      </c>
      <c r="O8">
        <v>2</v>
      </c>
      <c r="P8">
        <v>2</v>
      </c>
      <c r="Q8" s="7">
        <v>1</v>
      </c>
      <c r="R8" s="6">
        <v>2</v>
      </c>
      <c r="S8">
        <v>3</v>
      </c>
      <c r="T8">
        <v>1</v>
      </c>
      <c r="U8">
        <v>2</v>
      </c>
      <c r="V8" s="7">
        <v>1</v>
      </c>
      <c r="W8" s="6">
        <v>3</v>
      </c>
      <c r="X8">
        <v>0</v>
      </c>
      <c r="Y8">
        <v>1</v>
      </c>
      <c r="Z8">
        <v>2</v>
      </c>
      <c r="AA8" s="7">
        <v>2</v>
      </c>
    </row>
    <row r="9" spans="1:27" outlineLevel="1" x14ac:dyDescent="0.25">
      <c r="A9" s="6" t="s">
        <v>67</v>
      </c>
      <c r="B9">
        <v>-4</v>
      </c>
      <c r="C9" s="6">
        <v>0</v>
      </c>
      <c r="D9">
        <v>0</v>
      </c>
      <c r="E9">
        <v>1</v>
      </c>
      <c r="F9">
        <v>0</v>
      </c>
      <c r="G9" s="7">
        <v>0</v>
      </c>
      <c r="H9" s="6">
        <v>0</v>
      </c>
      <c r="I9">
        <v>0</v>
      </c>
      <c r="J9">
        <v>1</v>
      </c>
      <c r="K9">
        <v>0</v>
      </c>
      <c r="L9" s="7">
        <v>0</v>
      </c>
      <c r="M9" s="6">
        <v>1</v>
      </c>
      <c r="N9">
        <v>0</v>
      </c>
      <c r="O9">
        <v>0</v>
      </c>
      <c r="P9">
        <v>0</v>
      </c>
      <c r="Q9" s="7">
        <v>0</v>
      </c>
      <c r="R9" s="6">
        <v>0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1</v>
      </c>
    </row>
    <row r="10" spans="1:27" ht="15.75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thickBot="1" x14ac:dyDescent="0.3">
      <c r="C11" s="14">
        <f>(C5*$B5)+(C6*$B6)+(C7*$B7)+(C8*$B8)+(C9*$B9)+(C10*$B10)</f>
        <v>5</v>
      </c>
      <c r="D11" s="14">
        <f t="shared" ref="D11:AA11" si="0">(D5*$B5)+(D6*$B6)+(D7*$B7)+(D8*$B8)+(D9*$B9)+(D10*$B10)</f>
        <v>3</v>
      </c>
      <c r="E11" s="14">
        <f t="shared" si="0"/>
        <v>4</v>
      </c>
      <c r="F11" s="14">
        <f t="shared" si="0"/>
        <v>-1</v>
      </c>
      <c r="G11" s="14">
        <f t="shared" si="0"/>
        <v>11</v>
      </c>
      <c r="H11" s="14">
        <f t="shared" si="0"/>
        <v>5</v>
      </c>
      <c r="I11" s="14">
        <f t="shared" si="0"/>
        <v>12</v>
      </c>
      <c r="J11" s="14">
        <f t="shared" si="0"/>
        <v>1</v>
      </c>
      <c r="K11" s="14">
        <f t="shared" si="0"/>
        <v>12</v>
      </c>
      <c r="L11" s="14">
        <f t="shared" si="0"/>
        <v>2</v>
      </c>
      <c r="M11" s="14">
        <f t="shared" si="0"/>
        <v>4</v>
      </c>
      <c r="N11" s="14">
        <f t="shared" si="0"/>
        <v>0</v>
      </c>
      <c r="O11" s="14">
        <f t="shared" si="0"/>
        <v>14</v>
      </c>
      <c r="P11" s="14">
        <f t="shared" si="0"/>
        <v>8</v>
      </c>
      <c r="Q11" s="15">
        <f t="shared" si="0"/>
        <v>25</v>
      </c>
      <c r="R11" s="14">
        <f t="shared" si="0"/>
        <v>2</v>
      </c>
      <c r="S11" s="14">
        <f t="shared" si="0"/>
        <v>6</v>
      </c>
      <c r="T11" s="14">
        <f t="shared" si="0"/>
        <v>13</v>
      </c>
      <c r="U11" s="14">
        <f t="shared" si="0"/>
        <v>2</v>
      </c>
      <c r="V11" s="15">
        <f t="shared" si="0"/>
        <v>10</v>
      </c>
      <c r="W11" s="14">
        <f t="shared" si="0"/>
        <v>6</v>
      </c>
      <c r="X11" s="14">
        <f t="shared" si="0"/>
        <v>12</v>
      </c>
      <c r="Y11" s="14">
        <f t="shared" si="0"/>
        <v>14</v>
      </c>
      <c r="Z11" s="14">
        <f t="shared" si="0"/>
        <v>8</v>
      </c>
      <c r="AA11" s="15">
        <f t="shared" si="0"/>
        <v>2</v>
      </c>
    </row>
    <row r="12" spans="1:27" x14ac:dyDescent="0.25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outlineLevel="1" x14ac:dyDescent="0.25">
      <c r="A14" s="6" t="s">
        <v>64</v>
      </c>
      <c r="B14">
        <v>7</v>
      </c>
      <c r="C14" s="6">
        <v>0</v>
      </c>
      <c r="D14">
        <v>1</v>
      </c>
      <c r="E14">
        <v>0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1</v>
      </c>
      <c r="N14">
        <v>0</v>
      </c>
      <c r="O14">
        <v>0</v>
      </c>
      <c r="P14">
        <v>0</v>
      </c>
      <c r="Q14" s="7">
        <v>1</v>
      </c>
      <c r="R14" s="6">
        <v>0</v>
      </c>
      <c r="S14">
        <v>1</v>
      </c>
      <c r="T14">
        <v>0</v>
      </c>
      <c r="U14">
        <v>0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outlineLevel="1" x14ac:dyDescent="0.25">
      <c r="A15" s="6" t="s">
        <v>65</v>
      </c>
      <c r="B15">
        <v>3</v>
      </c>
      <c r="C15" s="6">
        <v>6</v>
      </c>
      <c r="D15">
        <v>3</v>
      </c>
      <c r="E15">
        <v>5</v>
      </c>
      <c r="F15">
        <v>4</v>
      </c>
      <c r="G15" s="7">
        <v>2</v>
      </c>
      <c r="H15" s="6">
        <v>3</v>
      </c>
      <c r="I15">
        <v>6</v>
      </c>
      <c r="J15">
        <v>4</v>
      </c>
      <c r="K15">
        <v>4</v>
      </c>
      <c r="L15" s="7">
        <v>5</v>
      </c>
      <c r="M15" s="6">
        <v>5</v>
      </c>
      <c r="N15">
        <v>4</v>
      </c>
      <c r="O15">
        <v>5</v>
      </c>
      <c r="P15">
        <v>3</v>
      </c>
      <c r="Q15" s="7">
        <v>2</v>
      </c>
      <c r="R15" s="6">
        <v>7</v>
      </c>
      <c r="S15">
        <v>2</v>
      </c>
      <c r="T15">
        <v>2</v>
      </c>
      <c r="U15">
        <v>5</v>
      </c>
      <c r="V15" s="7">
        <v>6</v>
      </c>
      <c r="W15" s="6">
        <v>4</v>
      </c>
      <c r="X15">
        <v>1</v>
      </c>
      <c r="Y15">
        <v>3</v>
      </c>
      <c r="Z15">
        <v>1</v>
      </c>
      <c r="AA15" s="7">
        <v>6</v>
      </c>
    </row>
    <row r="16" spans="1:27" outlineLevel="1" x14ac:dyDescent="0.25">
      <c r="A16" s="6" t="s">
        <v>66</v>
      </c>
      <c r="B16">
        <v>-2</v>
      </c>
      <c r="C16" s="6">
        <v>2</v>
      </c>
      <c r="D16">
        <v>3</v>
      </c>
      <c r="E16">
        <v>3</v>
      </c>
      <c r="F16">
        <v>1</v>
      </c>
      <c r="G16" s="7">
        <v>2</v>
      </c>
      <c r="H16" s="6">
        <v>4</v>
      </c>
      <c r="I16">
        <v>2</v>
      </c>
      <c r="J16">
        <v>2</v>
      </c>
      <c r="K16">
        <v>0</v>
      </c>
      <c r="L16" s="7">
        <v>0</v>
      </c>
      <c r="M16" s="6">
        <v>2</v>
      </c>
      <c r="N16">
        <v>1</v>
      </c>
      <c r="O16">
        <v>2</v>
      </c>
      <c r="P16">
        <v>3</v>
      </c>
      <c r="Q16" s="7">
        <v>4</v>
      </c>
      <c r="R16" s="6">
        <v>2</v>
      </c>
      <c r="S16">
        <v>0</v>
      </c>
      <c r="T16">
        <v>1</v>
      </c>
      <c r="U16">
        <v>1</v>
      </c>
      <c r="V16" s="7">
        <v>0</v>
      </c>
      <c r="W16" s="6">
        <v>2</v>
      </c>
      <c r="X16">
        <v>3</v>
      </c>
      <c r="Y16">
        <v>2</v>
      </c>
      <c r="Z16">
        <v>4</v>
      </c>
      <c r="AA16" s="7">
        <v>2</v>
      </c>
    </row>
    <row r="17" spans="1:27" outlineLevel="1" x14ac:dyDescent="0.25">
      <c r="A17" s="6" t="s">
        <v>67</v>
      </c>
      <c r="B17">
        <v>-4</v>
      </c>
      <c r="C17" s="6">
        <v>0</v>
      </c>
      <c r="D17">
        <v>0</v>
      </c>
      <c r="E17">
        <v>0</v>
      </c>
      <c r="F17">
        <v>0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1</v>
      </c>
      <c r="M17" s="6">
        <v>0</v>
      </c>
      <c r="N17">
        <v>0</v>
      </c>
      <c r="O17">
        <v>0</v>
      </c>
      <c r="P17">
        <v>0</v>
      </c>
      <c r="Q17" s="7">
        <v>0</v>
      </c>
      <c r="R17" s="6">
        <v>0</v>
      </c>
      <c r="S17">
        <v>0</v>
      </c>
      <c r="T17">
        <v>0</v>
      </c>
      <c r="U17">
        <v>0</v>
      </c>
      <c r="V17" s="7">
        <v>0</v>
      </c>
      <c r="W17" s="6">
        <v>0</v>
      </c>
      <c r="X17">
        <v>0</v>
      </c>
      <c r="Y17">
        <v>0</v>
      </c>
      <c r="Z17">
        <v>0</v>
      </c>
      <c r="AA17" s="7">
        <v>0</v>
      </c>
    </row>
    <row r="18" spans="1:27" ht="15.75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thickBot="1" x14ac:dyDescent="0.3">
      <c r="C19" s="14">
        <f>(C13*$B13)+(C14*$B14)+(C15*$B15)+(C16*$B16)+(C17*$B17)+(C18*$B18)</f>
        <v>14</v>
      </c>
      <c r="D19" s="14">
        <f t="shared" ref="D19:AA19" si="1">(D13*$B13)+(D14*$B14)+(D15*$B15)+(D16*$B16)+(D17*$B17)+(D18*$B18)</f>
        <v>10</v>
      </c>
      <c r="E19" s="14">
        <f t="shared" si="1"/>
        <v>9</v>
      </c>
      <c r="F19" s="14">
        <f t="shared" si="1"/>
        <v>10</v>
      </c>
      <c r="G19" s="14">
        <f t="shared" si="1"/>
        <v>2</v>
      </c>
      <c r="H19" s="14">
        <f t="shared" si="1"/>
        <v>1</v>
      </c>
      <c r="I19" s="14">
        <f t="shared" si="1"/>
        <v>14</v>
      </c>
      <c r="J19" s="14">
        <f t="shared" si="1"/>
        <v>8</v>
      </c>
      <c r="K19" s="14">
        <f t="shared" si="1"/>
        <v>12</v>
      </c>
      <c r="L19" s="14">
        <f t="shared" si="1"/>
        <v>11</v>
      </c>
      <c r="M19" s="14">
        <f t="shared" si="1"/>
        <v>18</v>
      </c>
      <c r="N19" s="14">
        <f t="shared" si="1"/>
        <v>10</v>
      </c>
      <c r="O19" s="14">
        <f t="shared" si="1"/>
        <v>11</v>
      </c>
      <c r="P19" s="14">
        <f t="shared" si="1"/>
        <v>3</v>
      </c>
      <c r="Q19" s="15">
        <f t="shared" si="1"/>
        <v>5</v>
      </c>
      <c r="R19" s="14">
        <f t="shared" si="1"/>
        <v>17</v>
      </c>
      <c r="S19" s="14">
        <f t="shared" si="1"/>
        <v>13</v>
      </c>
      <c r="T19" s="14">
        <f t="shared" si="1"/>
        <v>4</v>
      </c>
      <c r="U19" s="14">
        <f t="shared" si="1"/>
        <v>13</v>
      </c>
      <c r="V19" s="15">
        <f t="shared" si="1"/>
        <v>18</v>
      </c>
      <c r="W19" s="14">
        <f t="shared" si="1"/>
        <v>8</v>
      </c>
      <c r="X19" s="14">
        <f t="shared" si="1"/>
        <v>-3</v>
      </c>
      <c r="Y19" s="14">
        <f t="shared" si="1"/>
        <v>5</v>
      </c>
      <c r="Z19" s="14">
        <f t="shared" si="1"/>
        <v>-5</v>
      </c>
      <c r="AA19" s="15">
        <f t="shared" si="1"/>
        <v>14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>
        <v>0</v>
      </c>
      <c r="H21" s="6"/>
      <c r="I21">
        <v>0</v>
      </c>
      <c r="K21">
        <v>0</v>
      </c>
      <c r="L21" s="7">
        <v>0</v>
      </c>
      <c r="M21" s="6">
        <v>0</v>
      </c>
      <c r="O21">
        <v>0</v>
      </c>
      <c r="P21">
        <v>0</v>
      </c>
      <c r="Q21" s="7">
        <v>0</v>
      </c>
      <c r="R21" s="6">
        <v>0</v>
      </c>
      <c r="S21">
        <v>0</v>
      </c>
      <c r="T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AA21" s="7">
        <v>0</v>
      </c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>
        <v>0</v>
      </c>
      <c r="H22" s="6"/>
      <c r="I22">
        <v>0</v>
      </c>
      <c r="K22">
        <v>0</v>
      </c>
      <c r="L22" s="7">
        <v>0</v>
      </c>
      <c r="M22" s="6">
        <v>0</v>
      </c>
      <c r="O22">
        <v>0</v>
      </c>
      <c r="P22">
        <v>0</v>
      </c>
      <c r="Q22" s="7">
        <v>1</v>
      </c>
      <c r="R22" s="6">
        <v>1</v>
      </c>
      <c r="S22">
        <v>0</v>
      </c>
      <c r="T22">
        <v>1</v>
      </c>
      <c r="U22">
        <v>0</v>
      </c>
      <c r="V22" s="7">
        <v>0</v>
      </c>
      <c r="W22" s="6">
        <v>0</v>
      </c>
      <c r="X22">
        <v>0</v>
      </c>
      <c r="Y22">
        <v>0</v>
      </c>
      <c r="AA22" s="7">
        <v>0</v>
      </c>
    </row>
    <row r="23" spans="1:27" outlineLevel="1" x14ac:dyDescent="0.25">
      <c r="A23" s="6" t="s">
        <v>65</v>
      </c>
      <c r="B23">
        <v>3</v>
      </c>
      <c r="C23" s="6">
        <v>6</v>
      </c>
      <c r="D23">
        <v>4</v>
      </c>
      <c r="E23">
        <v>5</v>
      </c>
      <c r="F23">
        <v>6</v>
      </c>
      <c r="G23" s="7">
        <v>5</v>
      </c>
      <c r="H23" s="6"/>
      <c r="I23">
        <v>5</v>
      </c>
      <c r="K23">
        <v>8</v>
      </c>
      <c r="L23" s="7">
        <v>3</v>
      </c>
      <c r="M23" s="6">
        <v>3</v>
      </c>
      <c r="O23">
        <v>3</v>
      </c>
      <c r="P23">
        <v>8</v>
      </c>
      <c r="Q23" s="7">
        <v>1</v>
      </c>
      <c r="R23" s="6">
        <v>3</v>
      </c>
      <c r="S23">
        <v>2</v>
      </c>
      <c r="T23">
        <v>2</v>
      </c>
      <c r="U23">
        <v>5</v>
      </c>
      <c r="V23" s="7">
        <v>6</v>
      </c>
      <c r="W23" s="6">
        <v>5</v>
      </c>
      <c r="X23">
        <v>6</v>
      </c>
      <c r="Y23">
        <v>4</v>
      </c>
      <c r="AA23" s="7">
        <v>8</v>
      </c>
    </row>
    <row r="24" spans="1:27" outlineLevel="1" x14ac:dyDescent="0.25">
      <c r="A24" s="6" t="s">
        <v>66</v>
      </c>
      <c r="B24">
        <v>-2</v>
      </c>
      <c r="C24" s="6">
        <v>2</v>
      </c>
      <c r="D24">
        <v>0</v>
      </c>
      <c r="E24">
        <v>2</v>
      </c>
      <c r="F24">
        <v>0</v>
      </c>
      <c r="G24" s="7">
        <v>2</v>
      </c>
      <c r="H24" s="6"/>
      <c r="I24">
        <v>2</v>
      </c>
      <c r="K24">
        <v>1</v>
      </c>
      <c r="L24" s="7">
        <v>3</v>
      </c>
      <c r="M24" s="6">
        <v>3</v>
      </c>
      <c r="O24">
        <v>3</v>
      </c>
      <c r="P24">
        <v>2</v>
      </c>
      <c r="Q24" s="7">
        <v>3</v>
      </c>
      <c r="R24" s="6">
        <v>2</v>
      </c>
      <c r="S24">
        <v>2</v>
      </c>
      <c r="T24">
        <v>2</v>
      </c>
      <c r="U24">
        <v>1</v>
      </c>
      <c r="V24" s="7">
        <v>4</v>
      </c>
      <c r="W24" s="6">
        <v>0</v>
      </c>
      <c r="X24">
        <v>0</v>
      </c>
      <c r="Y24">
        <v>1</v>
      </c>
      <c r="AA24" s="7">
        <v>1</v>
      </c>
    </row>
    <row r="25" spans="1:27" outlineLevel="1" x14ac:dyDescent="0.25">
      <c r="A25" s="6" t="s">
        <v>67</v>
      </c>
      <c r="B25">
        <v>-4</v>
      </c>
      <c r="C25" s="6">
        <v>0</v>
      </c>
      <c r="D25">
        <v>0</v>
      </c>
      <c r="E25">
        <v>0</v>
      </c>
      <c r="F25">
        <v>0</v>
      </c>
      <c r="G25" s="7">
        <v>0</v>
      </c>
      <c r="H25" s="6"/>
      <c r="I25">
        <v>0</v>
      </c>
      <c r="K25">
        <v>0</v>
      </c>
      <c r="L25" s="7">
        <v>0</v>
      </c>
      <c r="M25" s="6">
        <v>0</v>
      </c>
      <c r="O25">
        <v>0</v>
      </c>
      <c r="P25">
        <v>1</v>
      </c>
      <c r="Q25" s="7">
        <v>0</v>
      </c>
      <c r="R25" s="6">
        <v>0</v>
      </c>
      <c r="S25">
        <v>0</v>
      </c>
      <c r="T25">
        <v>0</v>
      </c>
      <c r="U25">
        <v>1</v>
      </c>
      <c r="V25" s="7">
        <v>0</v>
      </c>
      <c r="W25" s="6">
        <v>0</v>
      </c>
      <c r="X25">
        <v>0</v>
      </c>
      <c r="Y25">
        <v>0</v>
      </c>
      <c r="AA25" s="7">
        <v>0</v>
      </c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>
        <v>0</v>
      </c>
      <c r="H26" s="11"/>
      <c r="I26" s="12">
        <v>0</v>
      </c>
      <c r="J26" s="12"/>
      <c r="K26" s="12">
        <v>0</v>
      </c>
      <c r="L26" s="13">
        <v>0</v>
      </c>
      <c r="M26" s="11">
        <v>0</v>
      </c>
      <c r="N26" s="12"/>
      <c r="O26" s="12">
        <v>0</v>
      </c>
      <c r="P26" s="12">
        <v>0</v>
      </c>
      <c r="Q26" s="13">
        <v>0</v>
      </c>
      <c r="R26" s="11">
        <v>0</v>
      </c>
      <c r="S26" s="12">
        <v>0</v>
      </c>
      <c r="T26" s="12">
        <v>0</v>
      </c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/>
      <c r="AA26" s="13">
        <v>0</v>
      </c>
    </row>
    <row r="27" spans="1:27" ht="15.75" thickBot="1" x14ac:dyDescent="0.3">
      <c r="C27" s="14">
        <f>(C21*$B21)+(C22*$B22)+(C23*$B23)+(C24*$B24)+(C25*$B25)+(C26*$B26)</f>
        <v>14</v>
      </c>
      <c r="D27" s="14">
        <f t="shared" ref="D27:AA27" si="2">(D21*$B21)+(D22*$B22)+(D23*$B23)+(D24*$B24)+(D25*$B25)+(D26*$B26)</f>
        <v>12</v>
      </c>
      <c r="E27" s="14">
        <f t="shared" si="2"/>
        <v>11</v>
      </c>
      <c r="F27" s="14">
        <f t="shared" si="2"/>
        <v>18</v>
      </c>
      <c r="G27" s="14">
        <f t="shared" si="2"/>
        <v>11</v>
      </c>
      <c r="H27" s="14">
        <f t="shared" si="2"/>
        <v>0</v>
      </c>
      <c r="I27" s="14">
        <f t="shared" si="2"/>
        <v>11</v>
      </c>
      <c r="J27" s="14">
        <f t="shared" si="2"/>
        <v>0</v>
      </c>
      <c r="K27" s="14">
        <f t="shared" si="2"/>
        <v>22</v>
      </c>
      <c r="L27" s="14">
        <f t="shared" si="2"/>
        <v>3</v>
      </c>
      <c r="M27" s="14">
        <f t="shared" si="2"/>
        <v>3</v>
      </c>
      <c r="N27" s="14">
        <f t="shared" si="2"/>
        <v>0</v>
      </c>
      <c r="O27" s="14">
        <f t="shared" si="2"/>
        <v>3</v>
      </c>
      <c r="P27" s="14">
        <f t="shared" si="2"/>
        <v>16</v>
      </c>
      <c r="Q27" s="15">
        <f t="shared" si="2"/>
        <v>4</v>
      </c>
      <c r="R27" s="14">
        <f t="shared" si="2"/>
        <v>12</v>
      </c>
      <c r="S27" s="14">
        <f t="shared" si="2"/>
        <v>2</v>
      </c>
      <c r="T27" s="14">
        <f t="shared" si="2"/>
        <v>9</v>
      </c>
      <c r="U27" s="14">
        <f t="shared" si="2"/>
        <v>9</v>
      </c>
      <c r="V27" s="15">
        <f t="shared" si="2"/>
        <v>10</v>
      </c>
      <c r="W27" s="14">
        <f t="shared" si="2"/>
        <v>15</v>
      </c>
      <c r="X27" s="14">
        <f t="shared" si="2"/>
        <v>18</v>
      </c>
      <c r="Y27" s="14">
        <f t="shared" si="2"/>
        <v>10</v>
      </c>
      <c r="Z27" s="14">
        <f t="shared" si="2"/>
        <v>0</v>
      </c>
      <c r="AA27" s="15">
        <f t="shared" si="2"/>
        <v>22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>
        <v>0</v>
      </c>
      <c r="H29" s="6"/>
      <c r="I29">
        <v>0</v>
      </c>
      <c r="K29">
        <v>0</v>
      </c>
      <c r="L29" s="7">
        <v>0</v>
      </c>
      <c r="M29" s="6">
        <v>0</v>
      </c>
      <c r="O29">
        <v>0</v>
      </c>
      <c r="P29">
        <v>0</v>
      </c>
      <c r="Q29" s="7">
        <v>0</v>
      </c>
      <c r="R29" s="6">
        <v>0</v>
      </c>
      <c r="S29">
        <v>0</v>
      </c>
      <c r="T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AA29" s="7">
        <v>0</v>
      </c>
    </row>
    <row r="30" spans="1:27" outlineLevel="1" x14ac:dyDescent="0.25">
      <c r="A30" s="6" t="s">
        <v>64</v>
      </c>
      <c r="B30">
        <v>7</v>
      </c>
      <c r="C30" s="6">
        <v>1</v>
      </c>
      <c r="D30">
        <v>0</v>
      </c>
      <c r="E30">
        <v>0</v>
      </c>
      <c r="F30">
        <v>2</v>
      </c>
      <c r="G30" s="7">
        <v>0</v>
      </c>
      <c r="H30" s="6"/>
      <c r="I30">
        <v>0</v>
      </c>
      <c r="K30">
        <v>1</v>
      </c>
      <c r="L30" s="7">
        <v>1</v>
      </c>
      <c r="M30" s="6">
        <v>1</v>
      </c>
      <c r="O30">
        <v>0</v>
      </c>
      <c r="P30">
        <v>0</v>
      </c>
      <c r="Q30" s="7">
        <v>0</v>
      </c>
      <c r="R30" s="6">
        <v>1</v>
      </c>
      <c r="S30">
        <v>0</v>
      </c>
      <c r="T30">
        <v>0</v>
      </c>
      <c r="U30">
        <v>1</v>
      </c>
      <c r="V30" s="7">
        <v>1</v>
      </c>
      <c r="W30" s="6">
        <v>1</v>
      </c>
      <c r="X30">
        <v>0</v>
      </c>
      <c r="Y30">
        <v>0</v>
      </c>
      <c r="AA30" s="7">
        <v>0</v>
      </c>
    </row>
    <row r="31" spans="1:27" outlineLevel="1" x14ac:dyDescent="0.25">
      <c r="A31" s="6" t="s">
        <v>65</v>
      </c>
      <c r="B31">
        <v>3</v>
      </c>
      <c r="C31" s="6">
        <v>6</v>
      </c>
      <c r="D31">
        <v>3</v>
      </c>
      <c r="E31">
        <v>5</v>
      </c>
      <c r="F31">
        <v>2</v>
      </c>
      <c r="G31" s="7">
        <v>3</v>
      </c>
      <c r="H31" s="6"/>
      <c r="I31">
        <v>4</v>
      </c>
      <c r="K31">
        <v>2</v>
      </c>
      <c r="L31" s="7">
        <v>4</v>
      </c>
      <c r="M31" s="6">
        <v>4</v>
      </c>
      <c r="O31">
        <v>7</v>
      </c>
      <c r="P31">
        <v>7</v>
      </c>
      <c r="Q31" s="7">
        <v>6</v>
      </c>
      <c r="R31" s="6">
        <v>2</v>
      </c>
      <c r="S31">
        <v>4</v>
      </c>
      <c r="T31">
        <v>4</v>
      </c>
      <c r="U31">
        <v>7</v>
      </c>
      <c r="V31" s="7">
        <v>6</v>
      </c>
      <c r="W31" s="6">
        <v>2</v>
      </c>
      <c r="X31">
        <v>5</v>
      </c>
      <c r="Y31">
        <v>3</v>
      </c>
      <c r="AA31" s="7">
        <v>6</v>
      </c>
    </row>
    <row r="32" spans="1:27" outlineLevel="1" x14ac:dyDescent="0.25">
      <c r="A32" s="6" t="s">
        <v>66</v>
      </c>
      <c r="B32">
        <v>-2</v>
      </c>
      <c r="C32" s="6">
        <v>1</v>
      </c>
      <c r="D32">
        <v>3</v>
      </c>
      <c r="E32">
        <v>1</v>
      </c>
      <c r="F32">
        <v>3</v>
      </c>
      <c r="G32" s="7">
        <v>3</v>
      </c>
      <c r="H32" s="6"/>
      <c r="I32">
        <v>4</v>
      </c>
      <c r="K32">
        <v>1</v>
      </c>
      <c r="L32" s="7">
        <v>3</v>
      </c>
      <c r="M32" s="6">
        <v>2</v>
      </c>
      <c r="O32">
        <v>1</v>
      </c>
      <c r="P32">
        <v>1</v>
      </c>
      <c r="Q32" s="7">
        <v>3</v>
      </c>
      <c r="R32" s="6">
        <v>0</v>
      </c>
      <c r="S32">
        <v>1</v>
      </c>
      <c r="T32">
        <v>2</v>
      </c>
      <c r="U32">
        <v>0</v>
      </c>
      <c r="V32" s="7">
        <v>2</v>
      </c>
      <c r="W32" s="6">
        <v>1</v>
      </c>
      <c r="X32">
        <v>1</v>
      </c>
      <c r="Y32">
        <v>3</v>
      </c>
      <c r="AA32" s="7">
        <v>2</v>
      </c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0</v>
      </c>
      <c r="F33">
        <v>1</v>
      </c>
      <c r="G33" s="7">
        <v>0</v>
      </c>
      <c r="H33" s="6"/>
      <c r="I33">
        <v>0</v>
      </c>
      <c r="K33">
        <v>0</v>
      </c>
      <c r="L33" s="7">
        <v>0</v>
      </c>
      <c r="M33" s="6">
        <v>0</v>
      </c>
      <c r="O33">
        <v>0</v>
      </c>
      <c r="P33">
        <v>1</v>
      </c>
      <c r="Q33" s="7">
        <v>1</v>
      </c>
      <c r="R33" s="6">
        <v>0</v>
      </c>
      <c r="S33">
        <v>0</v>
      </c>
      <c r="T33">
        <v>0</v>
      </c>
      <c r="U33">
        <v>0</v>
      </c>
      <c r="V33" s="7">
        <v>0</v>
      </c>
      <c r="W33" s="6">
        <v>0</v>
      </c>
      <c r="X33">
        <v>0</v>
      </c>
      <c r="Y33">
        <v>0</v>
      </c>
      <c r="AA33" s="7">
        <v>0</v>
      </c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>
        <v>0</v>
      </c>
      <c r="H34" s="11"/>
      <c r="I34" s="12">
        <v>0</v>
      </c>
      <c r="J34" s="12"/>
      <c r="K34" s="12">
        <v>0</v>
      </c>
      <c r="L34" s="13">
        <v>0</v>
      </c>
      <c r="M34" s="11">
        <v>0</v>
      </c>
      <c r="N34" s="12"/>
      <c r="O34" s="12">
        <v>0</v>
      </c>
      <c r="P34" s="12">
        <v>0</v>
      </c>
      <c r="Q34" s="13">
        <v>0</v>
      </c>
      <c r="R34" s="11">
        <v>0</v>
      </c>
      <c r="S34" s="12">
        <v>0</v>
      </c>
      <c r="T34" s="12">
        <v>0</v>
      </c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/>
      <c r="AA34" s="13">
        <v>0</v>
      </c>
    </row>
    <row r="35" spans="1:27" ht="15.75" thickBot="1" x14ac:dyDescent="0.3">
      <c r="C35" s="14">
        <f>(C29*$B29)+(C30*$B30)+(C31*$B31)+(C32*$B32)+(C33*$B33)+(C34*$B34)</f>
        <v>23</v>
      </c>
      <c r="D35" s="14">
        <f t="shared" ref="D35:AA35" si="3">(D29*$B29)+(D30*$B30)+(D31*$B31)+(D32*$B32)+(D33*$B33)+(D34*$B34)</f>
        <v>3</v>
      </c>
      <c r="E35" s="14">
        <f t="shared" si="3"/>
        <v>13</v>
      </c>
      <c r="F35" s="14">
        <f t="shared" si="3"/>
        <v>10</v>
      </c>
      <c r="G35" s="14">
        <f t="shared" si="3"/>
        <v>3</v>
      </c>
      <c r="H35" s="14">
        <f t="shared" si="3"/>
        <v>0</v>
      </c>
      <c r="I35" s="14">
        <f t="shared" si="3"/>
        <v>4</v>
      </c>
      <c r="J35" s="14">
        <f t="shared" si="3"/>
        <v>0</v>
      </c>
      <c r="K35" s="14">
        <f t="shared" si="3"/>
        <v>11</v>
      </c>
      <c r="L35" s="14">
        <f t="shared" si="3"/>
        <v>13</v>
      </c>
      <c r="M35" s="14">
        <f t="shared" si="3"/>
        <v>15</v>
      </c>
      <c r="N35" s="14">
        <f t="shared" si="3"/>
        <v>0</v>
      </c>
      <c r="O35" s="14">
        <f t="shared" si="3"/>
        <v>19</v>
      </c>
      <c r="P35" s="14">
        <f t="shared" si="3"/>
        <v>15</v>
      </c>
      <c r="Q35" s="15">
        <f t="shared" si="3"/>
        <v>8</v>
      </c>
      <c r="R35" s="14">
        <f t="shared" si="3"/>
        <v>13</v>
      </c>
      <c r="S35" s="14">
        <f t="shared" si="3"/>
        <v>10</v>
      </c>
      <c r="T35" s="14">
        <f t="shared" si="3"/>
        <v>8</v>
      </c>
      <c r="U35" s="14">
        <f t="shared" si="3"/>
        <v>28</v>
      </c>
      <c r="V35" s="15">
        <f t="shared" si="3"/>
        <v>21</v>
      </c>
      <c r="W35" s="14">
        <f t="shared" si="3"/>
        <v>11</v>
      </c>
      <c r="X35" s="14">
        <f t="shared" si="3"/>
        <v>13</v>
      </c>
      <c r="Y35" s="14">
        <f t="shared" si="3"/>
        <v>3</v>
      </c>
      <c r="Z35" s="14">
        <f t="shared" si="3"/>
        <v>0</v>
      </c>
      <c r="AA35" s="15">
        <f t="shared" si="3"/>
        <v>14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K38">
        <v>1</v>
      </c>
      <c r="L38" s="7"/>
      <c r="M38" s="6"/>
      <c r="Q38" s="7"/>
      <c r="R38" s="6"/>
      <c r="V38" s="7">
        <v>1</v>
      </c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>
        <v>1</v>
      </c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U42">
        <v>1</v>
      </c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>
        <v>1</v>
      </c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O46">
        <v>1</v>
      </c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Q47" s="7"/>
      <c r="R47" s="6">
        <v>1</v>
      </c>
      <c r="V47" s="7"/>
      <c r="W47" s="6"/>
      <c r="X47">
        <v>1</v>
      </c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I48">
        <v>1</v>
      </c>
      <c r="L48" s="7"/>
      <c r="M48" s="6"/>
      <c r="Q48" s="7"/>
      <c r="R48" s="6"/>
      <c r="V48" s="7"/>
      <c r="W48" s="6">
        <v>1</v>
      </c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P49">
        <v>1</v>
      </c>
      <c r="Q49" s="7"/>
      <c r="R49" s="6"/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E50">
        <v>1</v>
      </c>
      <c r="F50">
        <v>1</v>
      </c>
      <c r="G50" s="7"/>
      <c r="H50" s="6"/>
      <c r="L50" s="7"/>
      <c r="M50" s="6">
        <v>1</v>
      </c>
      <c r="Q50" s="7">
        <v>1</v>
      </c>
      <c r="R50" s="6"/>
      <c r="T50">
        <v>1</v>
      </c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>
        <v>1</v>
      </c>
      <c r="T52" s="12"/>
      <c r="U52" s="12"/>
      <c r="V52" s="13"/>
      <c r="W52" s="11"/>
      <c r="X52" s="12"/>
      <c r="Y52" s="12">
        <v>1</v>
      </c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>
        <v>1</v>
      </c>
      <c r="J55">
        <v>1</v>
      </c>
      <c r="L55" s="7"/>
      <c r="N55">
        <v>1</v>
      </c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/>
      <c r="D56">
        <v>1</v>
      </c>
      <c r="F56">
        <v>1</v>
      </c>
      <c r="G56" s="7"/>
      <c r="H56" s="6"/>
      <c r="K56">
        <v>1</v>
      </c>
      <c r="L56" s="7"/>
      <c r="Q56" s="7"/>
      <c r="R56">
        <v>1</v>
      </c>
      <c r="S56">
        <v>1</v>
      </c>
      <c r="U56">
        <v>1</v>
      </c>
      <c r="V56" s="7">
        <v>1</v>
      </c>
      <c r="W56">
        <v>1</v>
      </c>
      <c r="X56">
        <v>1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81</v>
      </c>
      <c r="D59" s="16" cm="1">
        <f t="array" ref="D59">SUM(D11,D19,D27,D35,(D37:D52)*($B37:$B52),((D55*$B55)+(D56*$B56)+(D57*$B57)))</f>
        <v>33</v>
      </c>
      <c r="E59" s="16" cm="1">
        <f t="array" ref="E59">SUM(E11,E19,E27,E35,(E37:E52)*($B37:$B52),((E55*$B55)+(E56*$B56)+(E57*$B57)))</f>
        <v>40</v>
      </c>
      <c r="F59" s="16" cm="1">
        <f t="array" ref="F59">SUM(F11,F19,F27,F35,(F37:F52)*($B37:$B52),((F55*$B55)+(F56*$B56)+(F57*$B57)))</f>
        <v>45</v>
      </c>
      <c r="G59" s="16" cm="1">
        <f t="array" ref="G59">SUM(G11,G19,G27,G35,(G37:G52)*($B37:$B52),((G55*$B55)+(G56*$B56)+(G57*$B57)))</f>
        <v>27</v>
      </c>
      <c r="H59" s="16" cm="1">
        <f t="array" ref="H59">SUM(H11,H19,H27,H35,(H37:H52)*($B37:$B52),((H55*$B55)+(H56*$B56)+(H57*$B57)))</f>
        <v>-1</v>
      </c>
      <c r="I59" s="16" cm="1">
        <f t="array" ref="I59">SUM(I11,I19,I27,I35,(I37:I52)*($B37:$B52),((I55*$B55)+(I56*$B56)+(I57*$B57)))</f>
        <v>46</v>
      </c>
      <c r="J59" s="16" cm="1">
        <f t="array" ref="J59">SUM(J11,J19,J27,J35,(J37:J52)*($B37:$B52),((J55*$B55)+(J56*$B56)+(J57*$B57)))</f>
        <v>2</v>
      </c>
      <c r="K59" s="16" cm="1">
        <f t="array" ref="K59">SUM(K11,K19,K27,K35,(K37:K52)*($B37:$B52),((K55*$B55)+(K56*$B56)+(K57*$B57)))</f>
        <v>97</v>
      </c>
      <c r="L59" s="16" cm="1">
        <f t="array" ref="L59">SUM(L11,L19,L27,L35,(L37:L52)*($B37:$B52),((L55*$B55)+(L56*$B56)+(L57*$B57)))</f>
        <v>29</v>
      </c>
      <c r="M59" s="16" cm="1">
        <f t="array" ref="M59">SUM(M11,M19,M27,M35,(M37:M52)*($B37:$B52),((M55*$B55)+(M56*$B56)+(M57*$B57)))</f>
        <v>43</v>
      </c>
      <c r="N59" s="16" cm="1">
        <f t="array" ref="N59">SUM(N11,N19,N27,N35,(N37:N52)*($B37:$B52),((N55*$B55)+(N56*$B56)+(N57*$B57)))</f>
        <v>3</v>
      </c>
      <c r="O59" s="16" cm="1">
        <f t="array" ref="O59">SUM(O11,O19,O27,O35,(O37:O52)*($B37:$B52),((O55*$B55)+(O56*$B56)+(O57*$B57)))</f>
        <v>58</v>
      </c>
      <c r="P59" s="16" cm="1">
        <f t="array" ref="P59">SUM(P11,P19,P27,P35,(P37:P52)*($B37:$B52),((P55*$B55)+(P56*$B56)+(P57*$B57)))</f>
        <v>46</v>
      </c>
      <c r="Q59" s="16" cm="1">
        <f t="array" ref="Q59">SUM(Q11,Q19,Q27,Q35,(Q37:Q52)*($B37:$B52),((Q55*$B55)+(Q56*$B56)+(Q57*$B57)))</f>
        <v>45</v>
      </c>
      <c r="R59" s="16" cm="1">
        <f t="array" ref="R59">SUM(R11,R19,R27,R35,(R37:R52)*($B37:$B52),((R55*$B55)+(R56*$B56)+(R57*$B57)))</f>
        <v>59</v>
      </c>
      <c r="S59" s="16" cm="1">
        <f t="array" ref="S59">SUM(S11,S19,S27,S35,(S37:S52)*($B37:$B52),((S55*$B55)+(S56*$B56)+(S57*$B57)))</f>
        <v>37</v>
      </c>
      <c r="T59" s="16" cm="1">
        <f t="array" ref="T59">SUM(T11,T19,T27,T35,(T37:T52)*($B37:$B52),((T55*$B55)+(T56*$B56)+(T57*$B57)))</f>
        <v>37</v>
      </c>
      <c r="U59" s="16" cm="1">
        <f t="array" ref="U59">SUM(U11,U19,U27,U35,(U37:U52)*($B37:$B52),((U55*$B55)+(U56*$B56)+(U57*$B57)))</f>
        <v>72</v>
      </c>
      <c r="V59" s="16" cm="1">
        <f t="array" ref="V59">SUM(V11,V19,V27,V35,(V37:V52)*($B37:$B52),((V55*$B55)+(V56*$B56)+(V57*$B57)))</f>
        <v>99</v>
      </c>
      <c r="W59" s="16" cm="1">
        <f t="array" ref="W59">SUM(W11,W19,W27,W35,(W37:W52)*($B37:$B52),((W55*$B55)+(W56*$B56)+(W57*$B57)))</f>
        <v>50</v>
      </c>
      <c r="X59" s="16" cm="1">
        <f t="array" ref="X59">SUM(X11,X19,X27,X35,(X37:X52)*($B37:$B52),((X55*$B55)+(X56*$B56)+(X57*$B57)))</f>
        <v>55</v>
      </c>
      <c r="Y59" s="16" cm="1">
        <f t="array" ref="Y59">SUM(Y11,Y19,Y27,Y35,(Y37:Y52)*($B37:$B52),((Y55*$B55)+(Y56*$B56)+(Y57*$B57)))</f>
        <v>33</v>
      </c>
      <c r="Z59" s="16" cm="1">
        <f t="array" ref="Z59">SUM(Z11,Z19,Z27,Z35,(Z37:Z52)*($B37:$B52),((Z55*$B55)+(Z56*$B56)+(Z57*$B57)))</f>
        <v>8</v>
      </c>
      <c r="AA59" s="16" cm="1">
        <f t="array" ref="AA59">SUM(AA11,AA19,AA27,AA35,(AA37:AA52)*($B37:$B52),((AA55*$B55)+(AA56*$B56)+(AA57*$B57)))</f>
        <v>66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226</v>
      </c>
      <c r="D61" s="18"/>
      <c r="E61" s="18"/>
      <c r="F61" s="18"/>
      <c r="G61" s="19"/>
      <c r="H61" s="17">
        <f>SUM(H59:L59)</f>
        <v>173</v>
      </c>
      <c r="I61" s="18"/>
      <c r="J61" s="18"/>
      <c r="K61" s="18"/>
      <c r="L61" s="19"/>
      <c r="M61" s="17">
        <f>SUM(M59:Q59)</f>
        <v>195</v>
      </c>
      <c r="N61" s="18"/>
      <c r="O61" s="18"/>
      <c r="P61" s="18"/>
      <c r="Q61" s="19"/>
      <c r="R61" s="17">
        <f>SUM(R59:V59)</f>
        <v>304</v>
      </c>
      <c r="S61" s="18"/>
      <c r="T61" s="18"/>
      <c r="U61" s="18"/>
      <c r="V61" s="19"/>
      <c r="W61" s="17">
        <f>SUM(W59:AA59)</f>
        <v>212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7673-6729-4709-82E0-351B2371B5F5}">
  <sheetPr codeName="Sheet15">
    <tabColor theme="0"/>
  </sheetPr>
  <dimension ref="A1:AA61"/>
  <sheetViews>
    <sheetView zoomScale="70" zoomScaleNormal="70" workbookViewId="0">
      <selection activeCell="R57" sqref="R57"/>
    </sheetView>
  </sheetViews>
  <sheetFormatPr defaultRowHeight="15" outlineLevelRow="1" x14ac:dyDescent="0.25"/>
  <sheetData>
    <row r="1" spans="1:27" ht="15.75" thickBot="1" x14ac:dyDescent="0.3">
      <c r="A1" t="s">
        <v>210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202</v>
      </c>
      <c r="D2" s="4" t="s">
        <v>204</v>
      </c>
      <c r="E2" s="4" t="s">
        <v>211</v>
      </c>
      <c r="F2" s="4" t="s">
        <v>191</v>
      </c>
      <c r="G2" s="5" t="s">
        <v>205</v>
      </c>
      <c r="H2" s="3" t="s">
        <v>50</v>
      </c>
      <c r="I2" s="4" t="s">
        <v>159</v>
      </c>
      <c r="J2" s="4" t="s">
        <v>158</v>
      </c>
      <c r="K2" s="4" t="s">
        <v>109</v>
      </c>
      <c r="L2" t="s">
        <v>209</v>
      </c>
      <c r="M2" t="s">
        <v>154</v>
      </c>
      <c r="N2" s="4" t="s">
        <v>212</v>
      </c>
      <c r="O2" s="4" t="s">
        <v>203</v>
      </c>
      <c r="P2" s="4" t="s">
        <v>53</v>
      </c>
      <c r="Q2" s="5" t="s">
        <v>206</v>
      </c>
      <c r="R2" s="3" t="s">
        <v>123</v>
      </c>
      <c r="S2" s="4" t="s">
        <v>199</v>
      </c>
      <c r="T2" s="4" t="s">
        <v>213</v>
      </c>
      <c r="U2" s="4" t="s">
        <v>161</v>
      </c>
      <c r="V2" s="5" t="s">
        <v>170</v>
      </c>
      <c r="W2" s="3" t="s">
        <v>198</v>
      </c>
      <c r="X2" s="4" t="s">
        <v>140</v>
      </c>
      <c r="Y2" s="4" t="s">
        <v>169</v>
      </c>
      <c r="Z2" s="4" t="s">
        <v>52</v>
      </c>
      <c r="AA2" s="5" t="s">
        <v>157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1</v>
      </c>
      <c r="E6">
        <v>0</v>
      </c>
      <c r="F6">
        <v>0</v>
      </c>
      <c r="G6" s="7">
        <v>0</v>
      </c>
      <c r="H6" s="6">
        <v>0</v>
      </c>
      <c r="I6">
        <v>1</v>
      </c>
      <c r="J6">
        <v>0</v>
      </c>
      <c r="K6">
        <v>0</v>
      </c>
      <c r="L6" s="7">
        <v>0</v>
      </c>
      <c r="M6" s="6">
        <v>0</v>
      </c>
      <c r="N6">
        <v>1</v>
      </c>
      <c r="O6">
        <v>1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1</v>
      </c>
      <c r="Y6">
        <v>1</v>
      </c>
      <c r="Z6">
        <v>0</v>
      </c>
      <c r="AA6" s="7">
        <v>0</v>
      </c>
    </row>
    <row r="7" spans="1:27" hidden="1" outlineLevel="1" x14ac:dyDescent="0.25">
      <c r="A7" s="6" t="s">
        <v>65</v>
      </c>
      <c r="B7">
        <v>3</v>
      </c>
      <c r="C7" s="6">
        <v>7</v>
      </c>
      <c r="D7">
        <v>5</v>
      </c>
      <c r="E7">
        <v>5</v>
      </c>
      <c r="F7">
        <v>9</v>
      </c>
      <c r="G7" s="7">
        <v>4</v>
      </c>
      <c r="H7" s="6">
        <v>7</v>
      </c>
      <c r="I7">
        <v>6</v>
      </c>
      <c r="J7">
        <v>9</v>
      </c>
      <c r="K7">
        <v>5</v>
      </c>
      <c r="L7" s="7">
        <v>8</v>
      </c>
      <c r="M7" s="6">
        <v>7</v>
      </c>
      <c r="N7">
        <v>5</v>
      </c>
      <c r="O7">
        <v>4</v>
      </c>
      <c r="P7">
        <v>3</v>
      </c>
      <c r="Q7" s="7">
        <v>6</v>
      </c>
      <c r="R7" s="6">
        <v>5</v>
      </c>
      <c r="S7">
        <v>9</v>
      </c>
      <c r="T7">
        <v>4</v>
      </c>
      <c r="U7">
        <v>8</v>
      </c>
      <c r="V7" s="7">
        <v>2</v>
      </c>
      <c r="W7" s="6">
        <v>9</v>
      </c>
      <c r="X7">
        <v>4</v>
      </c>
      <c r="Y7">
        <v>5</v>
      </c>
      <c r="Z7">
        <v>10</v>
      </c>
      <c r="AA7" s="7">
        <v>4</v>
      </c>
    </row>
    <row r="8" spans="1:27" hidden="1" outlineLevel="1" x14ac:dyDescent="0.25">
      <c r="A8" s="6" t="s">
        <v>66</v>
      </c>
      <c r="B8">
        <v>-2</v>
      </c>
      <c r="C8" s="6">
        <v>0</v>
      </c>
      <c r="D8">
        <v>3</v>
      </c>
      <c r="E8">
        <v>1</v>
      </c>
      <c r="F8">
        <v>1</v>
      </c>
      <c r="G8" s="7">
        <v>2</v>
      </c>
      <c r="H8" s="6">
        <v>1</v>
      </c>
      <c r="I8">
        <v>0</v>
      </c>
      <c r="J8">
        <v>1</v>
      </c>
      <c r="K8">
        <v>2</v>
      </c>
      <c r="L8" s="7">
        <v>2</v>
      </c>
      <c r="M8" s="6">
        <v>0</v>
      </c>
      <c r="N8">
        <v>0</v>
      </c>
      <c r="O8">
        <v>3</v>
      </c>
      <c r="P8">
        <v>0</v>
      </c>
      <c r="Q8" s="7">
        <v>2</v>
      </c>
      <c r="R8" s="6">
        <v>1</v>
      </c>
      <c r="S8">
        <v>0</v>
      </c>
      <c r="T8">
        <v>1</v>
      </c>
      <c r="U8">
        <v>3</v>
      </c>
      <c r="V8" s="7">
        <v>1</v>
      </c>
      <c r="W8" s="6">
        <v>1</v>
      </c>
      <c r="X8">
        <v>1</v>
      </c>
      <c r="Y8">
        <v>2</v>
      </c>
      <c r="Z8">
        <v>1</v>
      </c>
      <c r="AA8" s="7">
        <v>2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1</v>
      </c>
      <c r="G9" s="7">
        <v>0</v>
      </c>
      <c r="H9" s="6">
        <v>0</v>
      </c>
      <c r="I9">
        <v>0</v>
      </c>
      <c r="J9">
        <v>0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1</v>
      </c>
      <c r="Q9" s="7">
        <v>0</v>
      </c>
      <c r="R9" s="6">
        <v>0</v>
      </c>
      <c r="S9">
        <v>1</v>
      </c>
      <c r="T9">
        <v>0</v>
      </c>
      <c r="U9">
        <v>1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1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21</v>
      </c>
      <c r="D11" s="14">
        <f t="shared" ref="D11:AA11" si="0">(D5*$B5)+(D6*$B6)+(D7*$B7)+(D8*$B8)+(D9*$B9)+(D10*$B10)</f>
        <v>16</v>
      </c>
      <c r="E11" s="14">
        <f t="shared" si="0"/>
        <v>13</v>
      </c>
      <c r="F11" s="14">
        <f t="shared" si="0"/>
        <v>21</v>
      </c>
      <c r="G11" s="14">
        <f t="shared" si="0"/>
        <v>8</v>
      </c>
      <c r="H11" s="14">
        <f t="shared" si="0"/>
        <v>19</v>
      </c>
      <c r="I11" s="14">
        <f t="shared" si="0"/>
        <v>25</v>
      </c>
      <c r="J11" s="14">
        <f t="shared" si="0"/>
        <v>25</v>
      </c>
      <c r="K11" s="14">
        <f t="shared" si="0"/>
        <v>11</v>
      </c>
      <c r="L11" s="14">
        <f t="shared" si="0"/>
        <v>20</v>
      </c>
      <c r="M11" s="14">
        <f t="shared" si="0"/>
        <v>21</v>
      </c>
      <c r="N11" s="14">
        <f t="shared" si="0"/>
        <v>22</v>
      </c>
      <c r="O11" s="14">
        <f t="shared" si="0"/>
        <v>13</v>
      </c>
      <c r="P11" s="14">
        <f t="shared" si="0"/>
        <v>-1</v>
      </c>
      <c r="Q11" s="15">
        <f t="shared" si="0"/>
        <v>14</v>
      </c>
      <c r="R11" s="14">
        <f t="shared" si="0"/>
        <v>13</v>
      </c>
      <c r="S11" s="14">
        <f t="shared" si="0"/>
        <v>23</v>
      </c>
      <c r="T11" s="14">
        <f t="shared" si="0"/>
        <v>10</v>
      </c>
      <c r="U11" s="14">
        <f t="shared" si="0"/>
        <v>14</v>
      </c>
      <c r="V11" s="15">
        <f t="shared" si="0"/>
        <v>4</v>
      </c>
      <c r="W11" s="14">
        <f t="shared" si="0"/>
        <v>25</v>
      </c>
      <c r="X11" s="14">
        <f t="shared" si="0"/>
        <v>17</v>
      </c>
      <c r="Y11" s="14">
        <f t="shared" si="0"/>
        <v>18</v>
      </c>
      <c r="Z11" s="14">
        <f t="shared" si="0"/>
        <v>28</v>
      </c>
      <c r="AA11" s="15">
        <f t="shared" si="0"/>
        <v>8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1</v>
      </c>
      <c r="D14">
        <v>1</v>
      </c>
      <c r="E14">
        <v>1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0</v>
      </c>
      <c r="N14">
        <v>0</v>
      </c>
      <c r="O14">
        <v>1</v>
      </c>
      <c r="P14">
        <v>0</v>
      </c>
      <c r="Q14" s="7">
        <v>0</v>
      </c>
      <c r="R14" s="6">
        <v>0</v>
      </c>
      <c r="S14">
        <v>0</v>
      </c>
      <c r="T14">
        <v>0</v>
      </c>
      <c r="U14">
        <v>0</v>
      </c>
      <c r="V14" s="7">
        <v>0</v>
      </c>
      <c r="W14" s="6">
        <v>1</v>
      </c>
      <c r="X14">
        <v>0</v>
      </c>
      <c r="Y14">
        <v>0</v>
      </c>
      <c r="Z14">
        <v>0</v>
      </c>
      <c r="AA14" s="7">
        <v>0</v>
      </c>
    </row>
    <row r="15" spans="1:27" hidden="1" outlineLevel="1" x14ac:dyDescent="0.25">
      <c r="A15" s="6" t="s">
        <v>65</v>
      </c>
      <c r="B15">
        <v>3</v>
      </c>
      <c r="C15" s="6">
        <v>8</v>
      </c>
      <c r="D15">
        <v>7</v>
      </c>
      <c r="E15">
        <v>10</v>
      </c>
      <c r="F15">
        <v>8</v>
      </c>
      <c r="G15" s="7">
        <v>5</v>
      </c>
      <c r="H15" s="6">
        <v>6</v>
      </c>
      <c r="I15">
        <v>6</v>
      </c>
      <c r="J15">
        <v>8</v>
      </c>
      <c r="K15">
        <v>8</v>
      </c>
      <c r="L15" s="7">
        <v>7</v>
      </c>
      <c r="M15" s="6">
        <v>4</v>
      </c>
      <c r="N15">
        <v>7</v>
      </c>
      <c r="O15">
        <v>6</v>
      </c>
      <c r="P15">
        <v>8</v>
      </c>
      <c r="Q15" s="7">
        <v>6</v>
      </c>
      <c r="R15" s="6">
        <v>6</v>
      </c>
      <c r="S15">
        <v>6</v>
      </c>
      <c r="T15">
        <v>5</v>
      </c>
      <c r="U15">
        <v>8</v>
      </c>
      <c r="V15" s="7">
        <v>7</v>
      </c>
      <c r="W15" s="6">
        <v>4</v>
      </c>
      <c r="X15">
        <v>4</v>
      </c>
      <c r="Y15">
        <v>7</v>
      </c>
      <c r="Z15">
        <v>5</v>
      </c>
      <c r="AA15" s="7">
        <v>6</v>
      </c>
    </row>
    <row r="16" spans="1:27" hidden="1" outlineLevel="1" x14ac:dyDescent="0.25">
      <c r="A16" s="6" t="s">
        <v>66</v>
      </c>
      <c r="B16">
        <v>-2</v>
      </c>
      <c r="C16" s="6">
        <v>1</v>
      </c>
      <c r="D16">
        <v>0</v>
      </c>
      <c r="E16">
        <v>1</v>
      </c>
      <c r="F16">
        <v>1</v>
      </c>
      <c r="G16" s="7">
        <v>0</v>
      </c>
      <c r="H16" s="6">
        <v>2</v>
      </c>
      <c r="I16">
        <v>0</v>
      </c>
      <c r="J16">
        <v>1</v>
      </c>
      <c r="K16">
        <v>1</v>
      </c>
      <c r="L16" s="7">
        <v>1</v>
      </c>
      <c r="M16" s="6">
        <v>0</v>
      </c>
      <c r="N16">
        <v>2</v>
      </c>
      <c r="O16">
        <v>1</v>
      </c>
      <c r="P16">
        <v>0</v>
      </c>
      <c r="Q16" s="7">
        <v>1</v>
      </c>
      <c r="R16" s="6">
        <v>1</v>
      </c>
      <c r="S16">
        <v>0</v>
      </c>
      <c r="T16">
        <v>2</v>
      </c>
      <c r="U16">
        <v>2</v>
      </c>
      <c r="V16" s="7">
        <v>0</v>
      </c>
      <c r="W16" s="6">
        <v>0</v>
      </c>
      <c r="X16">
        <v>1</v>
      </c>
      <c r="Y16">
        <v>1</v>
      </c>
      <c r="Z16">
        <v>1</v>
      </c>
      <c r="AA16" s="7">
        <v>1</v>
      </c>
    </row>
    <row r="17" spans="1:27" hidden="1" outlineLevel="1" x14ac:dyDescent="0.25">
      <c r="A17" s="6" t="s">
        <v>67</v>
      </c>
      <c r="B17">
        <v>-4</v>
      </c>
      <c r="C17" s="6">
        <v>0</v>
      </c>
      <c r="D17">
        <v>0</v>
      </c>
      <c r="E17">
        <v>0</v>
      </c>
      <c r="F17">
        <v>0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0</v>
      </c>
      <c r="M17" s="6">
        <v>0</v>
      </c>
      <c r="N17">
        <v>0</v>
      </c>
      <c r="O17">
        <v>0</v>
      </c>
      <c r="P17">
        <v>0</v>
      </c>
      <c r="Q17" s="7">
        <v>0</v>
      </c>
      <c r="R17" s="6">
        <v>1</v>
      </c>
      <c r="S17">
        <v>0</v>
      </c>
      <c r="T17">
        <v>0</v>
      </c>
      <c r="U17">
        <v>0</v>
      </c>
      <c r="V17" s="7">
        <v>0</v>
      </c>
      <c r="W17" s="6">
        <v>0</v>
      </c>
      <c r="X17">
        <v>0</v>
      </c>
      <c r="Y17">
        <v>0</v>
      </c>
      <c r="Z17">
        <v>0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1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29</v>
      </c>
      <c r="D19" s="14">
        <f t="shared" ref="D19:AA19" si="1">(D13*$B13)+(D14*$B14)+(D15*$B15)+(D16*$B16)+(D17*$B17)+(D18*$B18)</f>
        <v>28</v>
      </c>
      <c r="E19" s="14">
        <f t="shared" si="1"/>
        <v>35</v>
      </c>
      <c r="F19" s="14">
        <f t="shared" si="1"/>
        <v>22</v>
      </c>
      <c r="G19" s="14">
        <f t="shared" si="1"/>
        <v>15</v>
      </c>
      <c r="H19" s="14">
        <f t="shared" si="1"/>
        <v>14</v>
      </c>
      <c r="I19" s="14">
        <f t="shared" si="1"/>
        <v>18</v>
      </c>
      <c r="J19" s="14">
        <f t="shared" si="1"/>
        <v>22</v>
      </c>
      <c r="K19" s="14">
        <f t="shared" si="1"/>
        <v>22</v>
      </c>
      <c r="L19" s="14">
        <f t="shared" si="1"/>
        <v>19</v>
      </c>
      <c r="M19" s="14">
        <f t="shared" si="1"/>
        <v>12</v>
      </c>
      <c r="N19" s="14">
        <f t="shared" si="1"/>
        <v>17</v>
      </c>
      <c r="O19" s="14">
        <f t="shared" si="1"/>
        <v>23</v>
      </c>
      <c r="P19" s="14">
        <f t="shared" si="1"/>
        <v>18</v>
      </c>
      <c r="Q19" s="15">
        <f t="shared" si="1"/>
        <v>16</v>
      </c>
      <c r="R19" s="14">
        <f t="shared" si="1"/>
        <v>12</v>
      </c>
      <c r="S19" s="14">
        <f t="shared" si="1"/>
        <v>18</v>
      </c>
      <c r="T19" s="14">
        <f t="shared" si="1"/>
        <v>11</v>
      </c>
      <c r="U19" s="14">
        <f t="shared" si="1"/>
        <v>20</v>
      </c>
      <c r="V19" s="15">
        <f t="shared" si="1"/>
        <v>21</v>
      </c>
      <c r="W19" s="14">
        <f t="shared" si="1"/>
        <v>19</v>
      </c>
      <c r="X19" s="14">
        <f t="shared" si="1"/>
        <v>10</v>
      </c>
      <c r="Y19" s="14">
        <f t="shared" si="1"/>
        <v>19</v>
      </c>
      <c r="Z19" s="14">
        <f t="shared" si="1"/>
        <v>13</v>
      </c>
      <c r="AA19" s="15">
        <f t="shared" si="1"/>
        <v>16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>
        <v>0</v>
      </c>
      <c r="H21" s="6">
        <v>0</v>
      </c>
      <c r="I21">
        <v>0</v>
      </c>
      <c r="J21">
        <v>0</v>
      </c>
      <c r="K21">
        <v>0</v>
      </c>
      <c r="L21" s="7">
        <v>0</v>
      </c>
      <c r="M21" s="6">
        <v>0</v>
      </c>
      <c r="N21">
        <v>0</v>
      </c>
      <c r="O21">
        <v>0</v>
      </c>
      <c r="P21">
        <v>0</v>
      </c>
      <c r="Q21" s="7">
        <v>0</v>
      </c>
      <c r="R21" s="6">
        <v>0</v>
      </c>
      <c r="S21">
        <v>0</v>
      </c>
      <c r="T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Z21">
        <v>0</v>
      </c>
      <c r="AA21" s="7">
        <v>0</v>
      </c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1</v>
      </c>
      <c r="F22">
        <v>1</v>
      </c>
      <c r="G22" s="7">
        <v>0</v>
      </c>
      <c r="H22" s="6">
        <v>0</v>
      </c>
      <c r="I22">
        <v>0</v>
      </c>
      <c r="J22">
        <v>0</v>
      </c>
      <c r="K22">
        <v>0</v>
      </c>
      <c r="L22" s="7">
        <v>0</v>
      </c>
      <c r="M22" s="6">
        <v>0</v>
      </c>
      <c r="N22">
        <v>0</v>
      </c>
      <c r="O22">
        <v>0</v>
      </c>
      <c r="P22">
        <v>0</v>
      </c>
      <c r="Q22" s="7">
        <v>0</v>
      </c>
      <c r="R22" s="6">
        <v>0</v>
      </c>
      <c r="S22">
        <v>0</v>
      </c>
      <c r="T22">
        <v>0</v>
      </c>
      <c r="U22">
        <v>0</v>
      </c>
      <c r="V22" s="7">
        <v>0</v>
      </c>
      <c r="W22" s="6">
        <v>1</v>
      </c>
      <c r="X22">
        <v>0</v>
      </c>
      <c r="Y22">
        <v>0</v>
      </c>
      <c r="Z22">
        <v>0</v>
      </c>
      <c r="AA22" s="7">
        <v>1</v>
      </c>
    </row>
    <row r="23" spans="1:27" outlineLevel="1" x14ac:dyDescent="0.25">
      <c r="A23" s="6" t="s">
        <v>65</v>
      </c>
      <c r="B23">
        <v>3</v>
      </c>
      <c r="C23" s="6">
        <v>4</v>
      </c>
      <c r="D23">
        <v>6</v>
      </c>
      <c r="E23">
        <v>3</v>
      </c>
      <c r="F23">
        <v>2</v>
      </c>
      <c r="G23" s="7">
        <v>4</v>
      </c>
      <c r="H23" s="6">
        <v>7</v>
      </c>
      <c r="I23">
        <v>4</v>
      </c>
      <c r="J23">
        <v>6</v>
      </c>
      <c r="K23">
        <v>4</v>
      </c>
      <c r="L23" s="7">
        <v>5</v>
      </c>
      <c r="M23" s="6">
        <v>9</v>
      </c>
      <c r="N23">
        <v>6</v>
      </c>
      <c r="O23">
        <v>5</v>
      </c>
      <c r="P23">
        <v>4</v>
      </c>
      <c r="Q23" s="7">
        <v>5</v>
      </c>
      <c r="R23" s="6">
        <v>3</v>
      </c>
      <c r="S23">
        <v>6</v>
      </c>
      <c r="T23">
        <v>6</v>
      </c>
      <c r="U23">
        <v>4</v>
      </c>
      <c r="V23" s="7">
        <v>6</v>
      </c>
      <c r="W23" s="6">
        <v>3</v>
      </c>
      <c r="X23">
        <v>3</v>
      </c>
      <c r="Y23">
        <v>4</v>
      </c>
      <c r="Z23">
        <v>6</v>
      </c>
      <c r="AA23" s="7">
        <v>1</v>
      </c>
    </row>
    <row r="24" spans="1:27" outlineLevel="1" x14ac:dyDescent="0.25">
      <c r="A24" s="6" t="s">
        <v>66</v>
      </c>
      <c r="B24">
        <v>-2</v>
      </c>
      <c r="C24" s="6">
        <v>2</v>
      </c>
      <c r="D24">
        <v>0</v>
      </c>
      <c r="E24">
        <v>1</v>
      </c>
      <c r="F24">
        <v>1</v>
      </c>
      <c r="G24" s="7">
        <v>2</v>
      </c>
      <c r="H24" s="6">
        <v>2</v>
      </c>
      <c r="I24">
        <v>1</v>
      </c>
      <c r="J24">
        <v>4</v>
      </c>
      <c r="K24">
        <v>0</v>
      </c>
      <c r="L24" s="7">
        <v>2</v>
      </c>
      <c r="M24" s="6">
        <v>1</v>
      </c>
      <c r="N24">
        <v>1</v>
      </c>
      <c r="O24">
        <v>3</v>
      </c>
      <c r="P24">
        <v>2</v>
      </c>
      <c r="Q24" s="7">
        <v>0</v>
      </c>
      <c r="R24" s="6">
        <v>5</v>
      </c>
      <c r="S24">
        <v>0</v>
      </c>
      <c r="T24">
        <v>2</v>
      </c>
      <c r="U24">
        <v>3</v>
      </c>
      <c r="V24" s="7">
        <v>1</v>
      </c>
      <c r="W24" s="6">
        <v>1</v>
      </c>
      <c r="X24">
        <v>4</v>
      </c>
      <c r="Y24">
        <v>1</v>
      </c>
      <c r="Z24">
        <v>0</v>
      </c>
      <c r="AA24" s="7">
        <v>4</v>
      </c>
    </row>
    <row r="25" spans="1:27" outlineLevel="1" x14ac:dyDescent="0.25">
      <c r="A25" s="6" t="s">
        <v>67</v>
      </c>
      <c r="B25">
        <v>-4</v>
      </c>
      <c r="C25" s="6">
        <v>0</v>
      </c>
      <c r="D25">
        <v>1</v>
      </c>
      <c r="E25">
        <v>0</v>
      </c>
      <c r="F25">
        <v>0</v>
      </c>
      <c r="G25" s="7">
        <v>0</v>
      </c>
      <c r="H25" s="6">
        <v>0</v>
      </c>
      <c r="I25">
        <v>0</v>
      </c>
      <c r="J25">
        <v>1</v>
      </c>
      <c r="K25">
        <v>0</v>
      </c>
      <c r="L25" s="7">
        <v>0</v>
      </c>
      <c r="M25" s="6">
        <v>0</v>
      </c>
      <c r="N25">
        <v>0</v>
      </c>
      <c r="O25">
        <v>0</v>
      </c>
      <c r="P25">
        <v>1</v>
      </c>
      <c r="Q25" s="7">
        <v>0</v>
      </c>
      <c r="R25" s="6">
        <v>1</v>
      </c>
      <c r="S25">
        <v>0</v>
      </c>
      <c r="T25">
        <v>0</v>
      </c>
      <c r="U25">
        <v>0</v>
      </c>
      <c r="V25" s="7">
        <v>0</v>
      </c>
      <c r="W25" s="6">
        <v>0</v>
      </c>
      <c r="X25">
        <v>0</v>
      </c>
      <c r="Y25">
        <v>2</v>
      </c>
      <c r="Z25">
        <v>0</v>
      </c>
      <c r="AA25" s="7">
        <v>1</v>
      </c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1</v>
      </c>
      <c r="F26" s="12">
        <v>0</v>
      </c>
      <c r="G26" s="13">
        <v>0</v>
      </c>
      <c r="H26" s="11">
        <v>0</v>
      </c>
      <c r="I26" s="12">
        <v>0</v>
      </c>
      <c r="J26" s="12">
        <v>0</v>
      </c>
      <c r="K26" s="12">
        <v>0</v>
      </c>
      <c r="L26" s="13">
        <v>0</v>
      </c>
      <c r="M26" s="11">
        <v>0</v>
      </c>
      <c r="N26" s="12">
        <v>0</v>
      </c>
      <c r="O26" s="12">
        <v>0</v>
      </c>
      <c r="P26" s="12">
        <v>0</v>
      </c>
      <c r="Q26" s="13">
        <v>0</v>
      </c>
      <c r="R26" s="11">
        <v>0</v>
      </c>
      <c r="S26" s="12">
        <v>0</v>
      </c>
      <c r="T26" s="12">
        <v>0</v>
      </c>
      <c r="U26" s="12">
        <v>1</v>
      </c>
      <c r="V26" s="13">
        <v>0</v>
      </c>
      <c r="W26" s="11">
        <v>1</v>
      </c>
      <c r="X26" s="12">
        <v>0</v>
      </c>
      <c r="Y26" s="12">
        <v>0</v>
      </c>
      <c r="Z26" s="12">
        <v>0</v>
      </c>
      <c r="AA26" s="13">
        <v>0</v>
      </c>
    </row>
    <row r="27" spans="1:27" ht="15.75" thickBot="1" x14ac:dyDescent="0.3">
      <c r="C27" s="14">
        <f>(C21*$B21)+(C22*$B22)+(C23*$B23)+(C24*$B24)+(C25*$B25)+(C26*$B26)</f>
        <v>8</v>
      </c>
      <c r="D27" s="14">
        <f t="shared" ref="D27:AA27" si="2">(D21*$B21)+(D22*$B22)+(D23*$B23)+(D24*$B24)+(D25*$B25)+(D26*$B26)</f>
        <v>14</v>
      </c>
      <c r="E27" s="14">
        <f t="shared" si="2"/>
        <v>8</v>
      </c>
      <c r="F27" s="14">
        <f t="shared" si="2"/>
        <v>11</v>
      </c>
      <c r="G27" s="14">
        <f t="shared" si="2"/>
        <v>8</v>
      </c>
      <c r="H27" s="14">
        <f t="shared" si="2"/>
        <v>17</v>
      </c>
      <c r="I27" s="14">
        <f t="shared" si="2"/>
        <v>10</v>
      </c>
      <c r="J27" s="14">
        <f t="shared" si="2"/>
        <v>6</v>
      </c>
      <c r="K27" s="14">
        <f t="shared" si="2"/>
        <v>12</v>
      </c>
      <c r="L27" s="14">
        <f t="shared" si="2"/>
        <v>11</v>
      </c>
      <c r="M27" s="14">
        <f t="shared" si="2"/>
        <v>25</v>
      </c>
      <c r="N27" s="14">
        <f t="shared" si="2"/>
        <v>16</v>
      </c>
      <c r="O27" s="14">
        <f t="shared" si="2"/>
        <v>9</v>
      </c>
      <c r="P27" s="14">
        <f t="shared" si="2"/>
        <v>4</v>
      </c>
      <c r="Q27" s="15">
        <f t="shared" si="2"/>
        <v>15</v>
      </c>
      <c r="R27" s="14">
        <f t="shared" si="2"/>
        <v>-5</v>
      </c>
      <c r="S27" s="14">
        <f t="shared" si="2"/>
        <v>18</v>
      </c>
      <c r="T27" s="14">
        <f t="shared" si="2"/>
        <v>14</v>
      </c>
      <c r="U27" s="14">
        <f t="shared" si="2"/>
        <v>0</v>
      </c>
      <c r="V27" s="15">
        <f t="shared" si="2"/>
        <v>16</v>
      </c>
      <c r="W27" s="14">
        <f t="shared" si="2"/>
        <v>8</v>
      </c>
      <c r="X27" s="14">
        <f t="shared" si="2"/>
        <v>1</v>
      </c>
      <c r="Y27" s="14">
        <f t="shared" si="2"/>
        <v>2</v>
      </c>
      <c r="Z27" s="14">
        <f t="shared" si="2"/>
        <v>18</v>
      </c>
      <c r="AA27" s="15">
        <f t="shared" si="2"/>
        <v>-2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>
        <v>0</v>
      </c>
      <c r="H29" s="6">
        <v>0</v>
      </c>
      <c r="I29">
        <v>0</v>
      </c>
      <c r="J29">
        <v>0</v>
      </c>
      <c r="K29">
        <v>0</v>
      </c>
      <c r="L29" s="7">
        <v>0</v>
      </c>
      <c r="M29" s="6">
        <v>0</v>
      </c>
      <c r="N29">
        <v>0</v>
      </c>
      <c r="O29">
        <v>0</v>
      </c>
      <c r="P29">
        <v>0</v>
      </c>
      <c r="Q29" s="7">
        <v>0</v>
      </c>
      <c r="R29" s="6">
        <v>0</v>
      </c>
      <c r="S29">
        <v>0</v>
      </c>
      <c r="T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Z29">
        <v>0</v>
      </c>
      <c r="AA29" s="7">
        <v>0</v>
      </c>
    </row>
    <row r="30" spans="1:27" outlineLevel="1" x14ac:dyDescent="0.25">
      <c r="A30" s="6" t="s">
        <v>64</v>
      </c>
      <c r="B30">
        <v>7</v>
      </c>
      <c r="C30" s="6">
        <v>0</v>
      </c>
      <c r="D30">
        <v>0</v>
      </c>
      <c r="E30">
        <v>0</v>
      </c>
      <c r="F30">
        <v>2</v>
      </c>
      <c r="G30" s="7">
        <v>1</v>
      </c>
      <c r="H30" s="6">
        <v>0</v>
      </c>
      <c r="I30">
        <v>0</v>
      </c>
      <c r="J30">
        <v>0</v>
      </c>
      <c r="K30">
        <v>0</v>
      </c>
      <c r="L30" s="7">
        <v>1</v>
      </c>
      <c r="M30" s="6">
        <v>1</v>
      </c>
      <c r="N30">
        <v>0</v>
      </c>
      <c r="O30">
        <v>1</v>
      </c>
      <c r="P30">
        <v>0</v>
      </c>
      <c r="Q30" s="7">
        <v>2</v>
      </c>
      <c r="R30" s="6">
        <v>0</v>
      </c>
      <c r="S30">
        <v>0</v>
      </c>
      <c r="T30">
        <v>0</v>
      </c>
      <c r="U30">
        <v>0</v>
      </c>
      <c r="V30" s="7">
        <v>0</v>
      </c>
      <c r="W30" s="6">
        <v>0</v>
      </c>
      <c r="X30">
        <v>2</v>
      </c>
      <c r="Y30">
        <v>0</v>
      </c>
      <c r="Z30">
        <v>0</v>
      </c>
      <c r="AA30" s="7">
        <v>0</v>
      </c>
    </row>
    <row r="31" spans="1:27" outlineLevel="1" x14ac:dyDescent="0.25">
      <c r="A31" s="6" t="s">
        <v>65</v>
      </c>
      <c r="B31">
        <v>3</v>
      </c>
      <c r="C31" s="6">
        <v>8</v>
      </c>
      <c r="D31">
        <v>6</v>
      </c>
      <c r="E31">
        <v>6</v>
      </c>
      <c r="F31">
        <v>6</v>
      </c>
      <c r="G31" s="7">
        <v>8</v>
      </c>
      <c r="H31" s="6">
        <v>7</v>
      </c>
      <c r="I31">
        <v>8</v>
      </c>
      <c r="J31">
        <v>11</v>
      </c>
      <c r="K31">
        <v>9</v>
      </c>
      <c r="L31" s="7">
        <v>5</v>
      </c>
      <c r="M31" s="6">
        <v>3</v>
      </c>
      <c r="N31">
        <v>7</v>
      </c>
      <c r="O31">
        <v>6</v>
      </c>
      <c r="P31">
        <v>8</v>
      </c>
      <c r="Q31" s="7">
        <v>2</v>
      </c>
      <c r="R31" s="6">
        <v>10</v>
      </c>
      <c r="S31">
        <v>9</v>
      </c>
      <c r="T31">
        <v>6</v>
      </c>
      <c r="U31">
        <v>5</v>
      </c>
      <c r="V31" s="7">
        <v>8</v>
      </c>
      <c r="W31" s="6">
        <v>6</v>
      </c>
      <c r="X31">
        <v>3</v>
      </c>
      <c r="Y31">
        <v>8</v>
      </c>
      <c r="Z31">
        <v>9</v>
      </c>
      <c r="AA31" s="7">
        <v>5</v>
      </c>
    </row>
    <row r="32" spans="1:27" outlineLevel="1" x14ac:dyDescent="0.25">
      <c r="A32" s="6" t="s">
        <v>66</v>
      </c>
      <c r="B32">
        <v>-2</v>
      </c>
      <c r="C32" s="6">
        <v>1</v>
      </c>
      <c r="D32">
        <v>1</v>
      </c>
      <c r="E32">
        <v>0</v>
      </c>
      <c r="F32">
        <v>1</v>
      </c>
      <c r="G32" s="7">
        <v>0</v>
      </c>
      <c r="H32" s="6">
        <v>0</v>
      </c>
      <c r="I32">
        <v>0</v>
      </c>
      <c r="J32">
        <v>1</v>
      </c>
      <c r="K32">
        <v>1</v>
      </c>
      <c r="L32" s="7">
        <v>0</v>
      </c>
      <c r="M32" s="6">
        <v>0</v>
      </c>
      <c r="N32">
        <v>1</v>
      </c>
      <c r="O32">
        <v>2</v>
      </c>
      <c r="P32">
        <v>0</v>
      </c>
      <c r="Q32" s="7">
        <v>2</v>
      </c>
      <c r="R32" s="6">
        <v>0</v>
      </c>
      <c r="S32">
        <v>1</v>
      </c>
      <c r="T32">
        <v>3</v>
      </c>
      <c r="U32">
        <v>2</v>
      </c>
      <c r="V32" s="7">
        <v>0</v>
      </c>
      <c r="W32" s="6">
        <v>0</v>
      </c>
      <c r="X32">
        <v>0</v>
      </c>
      <c r="Y32">
        <v>0</v>
      </c>
      <c r="Z32">
        <v>1</v>
      </c>
      <c r="AA32" s="7">
        <v>1</v>
      </c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0</v>
      </c>
      <c r="F33">
        <v>0</v>
      </c>
      <c r="G33" s="7">
        <v>0</v>
      </c>
      <c r="H33" s="6">
        <v>0</v>
      </c>
      <c r="I33">
        <v>0</v>
      </c>
      <c r="J33">
        <v>0</v>
      </c>
      <c r="K33">
        <v>0</v>
      </c>
      <c r="L33" s="7">
        <v>0</v>
      </c>
      <c r="M33" s="6">
        <v>0</v>
      </c>
      <c r="N33">
        <v>0</v>
      </c>
      <c r="O33">
        <v>1</v>
      </c>
      <c r="P33">
        <v>0</v>
      </c>
      <c r="Q33" s="7">
        <v>0</v>
      </c>
      <c r="R33" s="6">
        <v>0</v>
      </c>
      <c r="S33">
        <v>0</v>
      </c>
      <c r="T33">
        <v>0</v>
      </c>
      <c r="U33">
        <v>0</v>
      </c>
      <c r="V33" s="7">
        <v>1</v>
      </c>
      <c r="W33" s="6">
        <v>0</v>
      </c>
      <c r="X33">
        <v>0</v>
      </c>
      <c r="Y33">
        <v>0</v>
      </c>
      <c r="Z33">
        <v>0</v>
      </c>
      <c r="AA33" s="7">
        <v>0</v>
      </c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>
        <v>0</v>
      </c>
      <c r="H34" s="11">
        <v>0</v>
      </c>
      <c r="I34" s="12">
        <v>0</v>
      </c>
      <c r="J34" s="12">
        <v>0</v>
      </c>
      <c r="K34" s="12">
        <v>0</v>
      </c>
      <c r="L34" s="13">
        <v>0</v>
      </c>
      <c r="M34" s="11">
        <v>0</v>
      </c>
      <c r="N34" s="12">
        <v>0</v>
      </c>
      <c r="O34" s="12">
        <v>0</v>
      </c>
      <c r="P34" s="12">
        <v>0</v>
      </c>
      <c r="Q34" s="13">
        <v>0</v>
      </c>
      <c r="R34" s="11">
        <v>0</v>
      </c>
      <c r="S34" s="12">
        <v>0</v>
      </c>
      <c r="T34" s="12">
        <v>0</v>
      </c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>
        <v>0</v>
      </c>
      <c r="AA34" s="13">
        <v>0</v>
      </c>
    </row>
    <row r="35" spans="1:27" ht="15.75" thickBot="1" x14ac:dyDescent="0.3">
      <c r="C35" s="14">
        <f>(C29*$B29)+(C30*$B30)+(C31*$B31)+(C32*$B32)+(C33*$B33)+(C34*$B34)</f>
        <v>22</v>
      </c>
      <c r="D35" s="14">
        <f t="shared" ref="D35:AA35" si="3">(D29*$B29)+(D30*$B30)+(D31*$B31)+(D32*$B32)+(D33*$B33)+(D34*$B34)</f>
        <v>16</v>
      </c>
      <c r="E35" s="14">
        <f t="shared" si="3"/>
        <v>18</v>
      </c>
      <c r="F35" s="14">
        <f t="shared" si="3"/>
        <v>30</v>
      </c>
      <c r="G35" s="14">
        <f t="shared" si="3"/>
        <v>31</v>
      </c>
      <c r="H35" s="14">
        <f t="shared" si="3"/>
        <v>21</v>
      </c>
      <c r="I35" s="14">
        <f t="shared" si="3"/>
        <v>24</v>
      </c>
      <c r="J35" s="14">
        <f t="shared" si="3"/>
        <v>31</v>
      </c>
      <c r="K35" s="14">
        <f t="shared" si="3"/>
        <v>25</v>
      </c>
      <c r="L35" s="14">
        <f t="shared" si="3"/>
        <v>22</v>
      </c>
      <c r="M35" s="14">
        <f t="shared" si="3"/>
        <v>16</v>
      </c>
      <c r="N35" s="14">
        <f t="shared" si="3"/>
        <v>19</v>
      </c>
      <c r="O35" s="14">
        <f t="shared" si="3"/>
        <v>17</v>
      </c>
      <c r="P35" s="14">
        <f t="shared" si="3"/>
        <v>24</v>
      </c>
      <c r="Q35" s="15">
        <f t="shared" si="3"/>
        <v>16</v>
      </c>
      <c r="R35" s="14">
        <f t="shared" si="3"/>
        <v>30</v>
      </c>
      <c r="S35" s="14">
        <f t="shared" si="3"/>
        <v>25</v>
      </c>
      <c r="T35" s="14">
        <f t="shared" si="3"/>
        <v>12</v>
      </c>
      <c r="U35" s="14">
        <f t="shared" si="3"/>
        <v>11</v>
      </c>
      <c r="V35" s="15">
        <f t="shared" si="3"/>
        <v>20</v>
      </c>
      <c r="W35" s="14">
        <f t="shared" si="3"/>
        <v>18</v>
      </c>
      <c r="X35" s="14">
        <f t="shared" si="3"/>
        <v>23</v>
      </c>
      <c r="Y35" s="14">
        <f t="shared" si="3"/>
        <v>24</v>
      </c>
      <c r="Z35" s="14">
        <f t="shared" si="3"/>
        <v>25</v>
      </c>
      <c r="AA35" s="15">
        <f t="shared" si="3"/>
        <v>13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S39">
        <v>1</v>
      </c>
      <c r="V39" s="7"/>
      <c r="W39" s="6"/>
      <c r="Z39">
        <v>1</v>
      </c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>
        <v>1</v>
      </c>
      <c r="F41">
        <v>1</v>
      </c>
      <c r="G41" s="7"/>
      <c r="H41" s="6"/>
      <c r="I41">
        <v>1</v>
      </c>
      <c r="J41">
        <v>1</v>
      </c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>
        <v>1</v>
      </c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D47">
        <v>1</v>
      </c>
      <c r="E47">
        <v>1</v>
      </c>
      <c r="G47" s="7"/>
      <c r="H47" s="6">
        <v>1</v>
      </c>
      <c r="K47">
        <v>1</v>
      </c>
      <c r="L47" s="7">
        <v>1</v>
      </c>
      <c r="M47" s="6"/>
      <c r="N47">
        <v>1</v>
      </c>
      <c r="Q47" s="7"/>
      <c r="R47" s="6"/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L48" s="7"/>
      <c r="M48" s="6"/>
      <c r="Q48" s="7"/>
      <c r="R48" s="6"/>
      <c r="V48" s="7"/>
      <c r="W48" s="6"/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>
        <v>1</v>
      </c>
      <c r="AA49" s="7"/>
    </row>
    <row r="50" spans="1:27" outlineLevel="1" x14ac:dyDescent="0.25">
      <c r="A50" s="6" t="s">
        <v>86</v>
      </c>
      <c r="B50">
        <v>3</v>
      </c>
      <c r="C50" s="6"/>
      <c r="G50" s="7">
        <v>1</v>
      </c>
      <c r="H50" s="6"/>
      <c r="L50" s="7"/>
      <c r="M50" s="6"/>
      <c r="Q50" s="7"/>
      <c r="R50" s="6"/>
      <c r="V50" s="7">
        <v>1</v>
      </c>
      <c r="W50" s="6"/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O51">
        <v>1</v>
      </c>
      <c r="Q51" s="7">
        <v>1</v>
      </c>
      <c r="R51" s="6"/>
      <c r="V51" s="7"/>
      <c r="W51" s="6"/>
      <c r="Y51">
        <v>1</v>
      </c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>
        <v>1</v>
      </c>
      <c r="S52" s="12"/>
      <c r="T52" s="12">
        <v>1</v>
      </c>
      <c r="U52" s="12"/>
      <c r="V52" s="13"/>
      <c r="W52" s="11"/>
      <c r="X52" s="12">
        <v>1</v>
      </c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/>
      <c r="L55" s="7"/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>
        <v>1</v>
      </c>
      <c r="D56">
        <v>1</v>
      </c>
      <c r="E56">
        <v>1</v>
      </c>
      <c r="G56" s="7">
        <v>1</v>
      </c>
      <c r="H56" s="6">
        <v>1</v>
      </c>
      <c r="I56">
        <v>3</v>
      </c>
      <c r="L56" s="7"/>
      <c r="M56">
        <v>2</v>
      </c>
      <c r="N56">
        <v>1</v>
      </c>
      <c r="P56">
        <v>1</v>
      </c>
      <c r="Q56" s="7">
        <v>1</v>
      </c>
      <c r="R56">
        <v>1</v>
      </c>
      <c r="S56">
        <v>2</v>
      </c>
      <c r="V56" s="7">
        <v>1</v>
      </c>
      <c r="X56">
        <v>1</v>
      </c>
      <c r="Y56">
        <v>1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>
        <v>1</v>
      </c>
      <c r="E57" s="12"/>
      <c r="F57" s="12"/>
      <c r="G57" s="13"/>
      <c r="H57" s="11">
        <v>1</v>
      </c>
      <c r="I57" s="12"/>
      <c r="J57" s="12"/>
      <c r="K57" s="12"/>
      <c r="L57" s="13"/>
      <c r="M57" s="12">
        <v>1</v>
      </c>
      <c r="N57" s="12">
        <v>1</v>
      </c>
      <c r="O57" s="12"/>
      <c r="P57" s="12"/>
      <c r="Q57" s="13">
        <v>1</v>
      </c>
      <c r="R57" s="12"/>
      <c r="S57" s="12">
        <v>1</v>
      </c>
      <c r="T57" s="12"/>
      <c r="U57" s="12"/>
      <c r="V57" s="13"/>
      <c r="W57" s="12"/>
      <c r="X57" s="12"/>
      <c r="Y57" s="12"/>
      <c r="Z57" s="12">
        <v>1</v>
      </c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105</v>
      </c>
      <c r="D59" s="16" cm="1">
        <f t="array" ref="D59">SUM(D11,D19,D27,D35,(D37:D52)*($B37:$B52),((D55*$B55)+(D56*$B56)+(D57*$B57)))</f>
        <v>96</v>
      </c>
      <c r="E59" s="16" cm="1">
        <f t="array" ref="E59">SUM(E11,E19,E27,E35,(E37:E52)*($B37:$B52),((E55*$B55)+(E56*$B56)+(E57*$B57)))</f>
        <v>89</v>
      </c>
      <c r="F59" s="16" cm="1">
        <f t="array" ref="F59">SUM(F11,F19,F27,F35,(F37:F52)*($B37:$B52),((F55*$B55)+(F56*$B56)+(F57*$B57)))</f>
        <v>104</v>
      </c>
      <c r="G59" s="16" cm="1">
        <f t="array" ref="G59">SUM(G11,G19,G27,G35,(G37:G52)*($B37:$B52),((G55*$B55)+(G56*$B56)+(G57*$B57)))</f>
        <v>70</v>
      </c>
      <c r="H59" s="16" cm="1">
        <f t="array" ref="H59">SUM(H11,H19,H27,H35,(H37:H52)*($B37:$B52),((H55*$B55)+(H56*$B56)+(H57*$B57)))</f>
        <v>93</v>
      </c>
      <c r="I59" s="16" cm="1">
        <f t="array" ref="I59">SUM(I11,I19,I27,I35,(I37:I52)*($B37:$B52),((I55*$B55)+(I56*$B56)+(I57*$B57)))</f>
        <v>112</v>
      </c>
      <c r="J59" s="16" cm="1">
        <f t="array" ref="J59">SUM(J11,J19,J27,J35,(J37:J52)*($B37:$B52),((J55*$B55)+(J56*$B56)+(J57*$B57)))</f>
        <v>104</v>
      </c>
      <c r="K59" s="16" cm="1">
        <f t="array" ref="K59">SUM(K11,K19,K27,K35,(K37:K52)*($B37:$B52),((K55*$B55)+(K56*$B56)+(K57*$B57)))</f>
        <v>80</v>
      </c>
      <c r="L59" s="16" cm="1">
        <f t="array" ref="L59">SUM(L11,L19,L27,L35,(L37:L52)*($B37:$B52),((L55*$B55)+(L56*$B56)+(L57*$B57)))</f>
        <v>82</v>
      </c>
      <c r="M59" s="16" cm="1">
        <f t="array" ref="M59">SUM(M11,M19,M27,M35,(M37:M52)*($B37:$B52),((M55*$B55)+(M56*$B56)+(M57*$B57)))</f>
        <v>102</v>
      </c>
      <c r="N59" s="16" cm="1">
        <f t="array" ref="N59">SUM(N11,N19,N27,N35,(N37:N52)*($B37:$B52),((N55*$B55)+(N56*$B56)+(N57*$B57)))</f>
        <v>96</v>
      </c>
      <c r="O59" s="16" cm="1">
        <f t="array" ref="O59">SUM(O11,O19,O27,O35,(O37:O52)*($B37:$B52),((O55*$B55)+(O56*$B56)+(O57*$B57)))</f>
        <v>64</v>
      </c>
      <c r="P59" s="16" cm="1">
        <f t="array" ref="P59">SUM(P11,P19,P27,P35,(P37:P52)*($B37:$B52),((P55*$B55)+(P56*$B56)+(P57*$B57)))</f>
        <v>50</v>
      </c>
      <c r="Q59" s="16" cm="1">
        <f t="array" ref="Q59">SUM(Q11,Q19,Q27,Q35,(Q37:Q52)*($B37:$B52),((Q55*$B55)+(Q56*$B56)+(Q57*$B57)))</f>
        <v>75</v>
      </c>
      <c r="R59" s="16" cm="1">
        <f t="array" ref="R59">SUM(R11,R19,R27,R35,(R37:R52)*($B37:$B52),((R55*$B55)+(R56*$B56)+(R57*$B57)))</f>
        <v>56</v>
      </c>
      <c r="S59" s="16" cm="1">
        <f t="array" ref="S59">SUM(S11,S19,S27,S35,(S37:S52)*($B37:$B52),((S55*$B55)+(S56*$B56)+(S57*$B57)))</f>
        <v>131</v>
      </c>
      <c r="T59" s="16" cm="1">
        <f t="array" ref="T59">SUM(T11,T19,T27,T35,(T37:T52)*($B37:$B52),((T55*$B55)+(T56*$B56)+(T57*$B57)))</f>
        <v>48</v>
      </c>
      <c r="U59" s="16" cm="1">
        <f t="array" ref="U59">SUM(U11,U19,U27,U35,(U37:U52)*($B37:$B52),((U55*$B55)+(U56*$B56)+(U57*$B57)))</f>
        <v>45</v>
      </c>
      <c r="V59" s="16" cm="1">
        <f t="array" ref="V59">SUM(V11,V19,V27,V35,(V37:V52)*($B37:$B52),((V55*$B55)+(V56*$B56)+(V57*$B57)))</f>
        <v>69</v>
      </c>
      <c r="W59" s="16" cm="1">
        <f t="array" ref="W59">SUM(W11,W19,W27,W35,(W37:W52)*($B37:$B52),((W55*$B55)+(W56*$B56)+(W57*$B57)))</f>
        <v>74</v>
      </c>
      <c r="X59" s="16" cm="1">
        <f t="array" ref="X59">SUM(X11,X19,X27,X35,(X37:X52)*($B37:$B52),((X55*$B55)+(X56*$B56)+(X57*$B57)))</f>
        <v>57</v>
      </c>
      <c r="Y59" s="16" cm="1">
        <f t="array" ref="Y59">SUM(Y11,Y19,Y27,Y35,(Y37:Y52)*($B37:$B52),((Y55*$B55)+(Y56*$B56)+(Y57*$B57)))</f>
        <v>70</v>
      </c>
      <c r="Z59" s="16" cm="1">
        <f t="array" ref="Z59">SUM(Z11,Z19,Z27,Z35,(Z37:Z52)*($B37:$B52),((Z55*$B55)+(Z56*$B56)+(Z57*$B57)))</f>
        <v>126</v>
      </c>
      <c r="AA59" s="16" cm="1">
        <f t="array" ref="AA59">SUM(AA11,AA19,AA27,AA35,(AA37:AA52)*($B37:$B52),((AA55*$B55)+(AA56*$B56)+(AA57*$B57)))</f>
        <v>35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464</v>
      </c>
      <c r="D61" s="18"/>
      <c r="E61" s="18"/>
      <c r="F61" s="18"/>
      <c r="G61" s="19"/>
      <c r="H61" s="17">
        <f>SUM(H59:L59)</f>
        <v>471</v>
      </c>
      <c r="I61" s="18"/>
      <c r="J61" s="18"/>
      <c r="K61" s="18"/>
      <c r="L61" s="19"/>
      <c r="M61" s="17">
        <f>SUM(M59:Q59)</f>
        <v>387</v>
      </c>
      <c r="N61" s="18"/>
      <c r="O61" s="18"/>
      <c r="P61" s="18"/>
      <c r="Q61" s="19"/>
      <c r="R61" s="17">
        <f>SUM(R59:V59)</f>
        <v>349</v>
      </c>
      <c r="S61" s="18"/>
      <c r="T61" s="18"/>
      <c r="U61" s="18"/>
      <c r="V61" s="19"/>
      <c r="W61" s="17">
        <f>SUM(W59:AA59)</f>
        <v>362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18BF9-0BA0-4723-AAF3-7F7C34C60CCE}">
  <sheetPr codeName="Sheet14">
    <tabColor theme="0"/>
  </sheetPr>
  <dimension ref="A1:AA61"/>
  <sheetViews>
    <sheetView zoomScale="70" zoomScaleNormal="70" workbookViewId="0">
      <selection activeCell="S57" sqref="S57"/>
    </sheetView>
  </sheetViews>
  <sheetFormatPr defaultRowHeight="15" outlineLevelRow="1" x14ac:dyDescent="0.25"/>
  <sheetData>
    <row r="1" spans="1:27" ht="15.75" thickBot="1" x14ac:dyDescent="0.3">
      <c r="A1" t="s">
        <v>197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198</v>
      </c>
      <c r="D2" s="4" t="s">
        <v>199</v>
      </c>
      <c r="E2" s="4" t="s">
        <v>200</v>
      </c>
      <c r="F2" s="4" t="s">
        <v>201</v>
      </c>
      <c r="G2" s="5"/>
      <c r="H2" s="3" t="s">
        <v>159</v>
      </c>
      <c r="I2" s="4" t="s">
        <v>103</v>
      </c>
      <c r="J2" s="4" t="s">
        <v>162</v>
      </c>
      <c r="K2" s="4" t="s">
        <v>191</v>
      </c>
      <c r="M2" t="s">
        <v>50</v>
      </c>
      <c r="N2" s="4" t="s">
        <v>204</v>
      </c>
      <c r="O2" s="4" t="s">
        <v>206</v>
      </c>
      <c r="P2" s="4" t="s">
        <v>170</v>
      </c>
      <c r="Q2" s="5"/>
      <c r="R2" s="3" t="s">
        <v>202</v>
      </c>
      <c r="S2" s="4" t="s">
        <v>205</v>
      </c>
      <c r="T2" s="4" t="s">
        <v>161</v>
      </c>
      <c r="U2" s="4" t="s">
        <v>208</v>
      </c>
      <c r="V2" s="5"/>
      <c r="W2" s="3" t="s">
        <v>169</v>
      </c>
      <c r="X2" s="4" t="s">
        <v>203</v>
      </c>
      <c r="Y2" s="4" t="s">
        <v>207</v>
      </c>
      <c r="Z2" s="4" t="s">
        <v>209</v>
      </c>
      <c r="AA2" s="5"/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x14ac:dyDescent="0.25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/>
      <c r="H5" s="6">
        <v>0</v>
      </c>
      <c r="I5">
        <v>0</v>
      </c>
      <c r="J5">
        <v>0</v>
      </c>
      <c r="K5">
        <v>0</v>
      </c>
      <c r="L5" s="7"/>
      <c r="M5" s="6">
        <v>0</v>
      </c>
      <c r="N5">
        <v>0</v>
      </c>
      <c r="O5">
        <v>0</v>
      </c>
      <c r="P5">
        <v>0</v>
      </c>
      <c r="Q5" s="7"/>
      <c r="R5" s="6">
        <v>0</v>
      </c>
      <c r="S5">
        <v>0</v>
      </c>
      <c r="T5">
        <v>0</v>
      </c>
      <c r="U5">
        <v>0</v>
      </c>
      <c r="V5" s="7"/>
      <c r="W5" s="6">
        <v>0</v>
      </c>
      <c r="X5">
        <v>0</v>
      </c>
      <c r="Y5">
        <v>0</v>
      </c>
      <c r="Z5">
        <v>0</v>
      </c>
      <c r="AA5" s="7"/>
    </row>
    <row r="6" spans="1:27" outlineLevel="1" x14ac:dyDescent="0.25">
      <c r="A6" s="6" t="s">
        <v>64</v>
      </c>
      <c r="B6">
        <v>7</v>
      </c>
      <c r="C6" s="6">
        <v>0</v>
      </c>
      <c r="D6">
        <v>2</v>
      </c>
      <c r="E6">
        <v>0</v>
      </c>
      <c r="F6">
        <v>1</v>
      </c>
      <c r="G6" s="7"/>
      <c r="H6" s="6">
        <v>0</v>
      </c>
      <c r="I6">
        <v>0</v>
      </c>
      <c r="J6">
        <v>0</v>
      </c>
      <c r="K6">
        <v>0</v>
      </c>
      <c r="L6" s="7"/>
      <c r="M6" s="6">
        <v>0</v>
      </c>
      <c r="N6">
        <v>1</v>
      </c>
      <c r="O6">
        <v>0</v>
      </c>
      <c r="P6">
        <v>0</v>
      </c>
      <c r="Q6" s="7"/>
      <c r="R6" s="6">
        <v>0</v>
      </c>
      <c r="S6">
        <v>0</v>
      </c>
      <c r="T6">
        <v>0</v>
      </c>
      <c r="U6">
        <v>0</v>
      </c>
      <c r="V6" s="7"/>
      <c r="W6" s="6">
        <v>0</v>
      </c>
      <c r="X6">
        <v>0</v>
      </c>
      <c r="Y6">
        <v>0</v>
      </c>
      <c r="Z6">
        <v>0</v>
      </c>
      <c r="AA6" s="7"/>
    </row>
    <row r="7" spans="1:27" outlineLevel="1" x14ac:dyDescent="0.25">
      <c r="A7" s="6" t="s">
        <v>65</v>
      </c>
      <c r="B7">
        <v>3</v>
      </c>
      <c r="C7" s="6">
        <v>4</v>
      </c>
      <c r="D7">
        <v>6</v>
      </c>
      <c r="E7">
        <v>1</v>
      </c>
      <c r="F7">
        <v>5</v>
      </c>
      <c r="G7" s="7"/>
      <c r="H7" s="6">
        <v>6</v>
      </c>
      <c r="I7">
        <v>6</v>
      </c>
      <c r="J7">
        <v>5</v>
      </c>
      <c r="K7">
        <v>6</v>
      </c>
      <c r="L7" s="7"/>
      <c r="M7" s="6">
        <v>6</v>
      </c>
      <c r="N7">
        <v>5</v>
      </c>
      <c r="O7">
        <v>7</v>
      </c>
      <c r="P7">
        <v>5</v>
      </c>
      <c r="Q7" s="7"/>
      <c r="R7" s="6">
        <v>7</v>
      </c>
      <c r="S7">
        <v>1</v>
      </c>
      <c r="T7">
        <v>2</v>
      </c>
      <c r="U7">
        <v>4</v>
      </c>
      <c r="V7" s="7"/>
      <c r="W7" s="6">
        <v>6</v>
      </c>
      <c r="X7">
        <v>6</v>
      </c>
      <c r="Y7">
        <v>4</v>
      </c>
      <c r="Z7">
        <v>3</v>
      </c>
      <c r="AA7" s="7"/>
    </row>
    <row r="8" spans="1:27" outlineLevel="1" x14ac:dyDescent="0.25">
      <c r="A8" s="6" t="s">
        <v>66</v>
      </c>
      <c r="B8">
        <v>-2</v>
      </c>
      <c r="C8" s="6">
        <v>3</v>
      </c>
      <c r="D8">
        <v>4</v>
      </c>
      <c r="E8">
        <v>4</v>
      </c>
      <c r="F8">
        <v>1</v>
      </c>
      <c r="G8" s="7"/>
      <c r="H8" s="6">
        <v>3</v>
      </c>
      <c r="I8">
        <v>1</v>
      </c>
      <c r="J8">
        <v>5</v>
      </c>
      <c r="K8">
        <v>1</v>
      </c>
      <c r="L8" s="7"/>
      <c r="M8" s="6">
        <v>3</v>
      </c>
      <c r="N8">
        <v>3</v>
      </c>
      <c r="O8">
        <v>2</v>
      </c>
      <c r="P8">
        <v>2</v>
      </c>
      <c r="Q8" s="7"/>
      <c r="R8" s="6">
        <v>4</v>
      </c>
      <c r="S8">
        <v>5</v>
      </c>
      <c r="T8">
        <v>4</v>
      </c>
      <c r="U8">
        <v>5</v>
      </c>
      <c r="V8" s="7"/>
      <c r="W8" s="6">
        <v>1</v>
      </c>
      <c r="X8">
        <v>1</v>
      </c>
      <c r="Y8">
        <v>3</v>
      </c>
      <c r="Z8">
        <v>1</v>
      </c>
      <c r="AA8" s="7"/>
    </row>
    <row r="9" spans="1:27" outlineLevel="1" x14ac:dyDescent="0.25">
      <c r="A9" s="6" t="s">
        <v>67</v>
      </c>
      <c r="B9">
        <v>-4</v>
      </c>
      <c r="C9" s="6">
        <v>1</v>
      </c>
      <c r="D9">
        <v>1</v>
      </c>
      <c r="E9">
        <v>3</v>
      </c>
      <c r="F9">
        <v>3</v>
      </c>
      <c r="G9" s="7"/>
      <c r="H9" s="6">
        <v>0</v>
      </c>
      <c r="I9">
        <v>0</v>
      </c>
      <c r="J9">
        <v>0</v>
      </c>
      <c r="K9">
        <v>0</v>
      </c>
      <c r="L9" s="7"/>
      <c r="M9" s="6">
        <v>0</v>
      </c>
      <c r="N9">
        <v>1</v>
      </c>
      <c r="O9">
        <v>2</v>
      </c>
      <c r="P9">
        <v>1</v>
      </c>
      <c r="Q9" s="7"/>
      <c r="R9" s="6">
        <v>0</v>
      </c>
      <c r="S9">
        <v>0</v>
      </c>
      <c r="T9">
        <v>0</v>
      </c>
      <c r="U9">
        <v>1</v>
      </c>
      <c r="V9" s="7"/>
      <c r="W9" s="6">
        <v>1</v>
      </c>
      <c r="X9">
        <v>0</v>
      </c>
      <c r="Y9">
        <v>0</v>
      </c>
      <c r="Z9">
        <v>1</v>
      </c>
      <c r="AA9" s="7"/>
    </row>
    <row r="10" spans="1:27" ht="15.75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/>
      <c r="H10" s="11">
        <v>0</v>
      </c>
      <c r="I10" s="12">
        <v>1</v>
      </c>
      <c r="J10" s="12">
        <v>0</v>
      </c>
      <c r="K10" s="12">
        <v>0</v>
      </c>
      <c r="L10" s="13"/>
      <c r="M10" s="11">
        <v>0</v>
      </c>
      <c r="N10" s="12">
        <v>0</v>
      </c>
      <c r="O10" s="12">
        <v>0</v>
      </c>
      <c r="P10" s="12">
        <v>0</v>
      </c>
      <c r="Q10" s="13"/>
      <c r="R10" s="11">
        <v>0</v>
      </c>
      <c r="S10" s="12">
        <v>0</v>
      </c>
      <c r="T10" s="12">
        <v>0</v>
      </c>
      <c r="U10" s="12">
        <v>0</v>
      </c>
      <c r="V10" s="13"/>
      <c r="W10" s="11">
        <v>0</v>
      </c>
      <c r="X10" s="12">
        <v>0</v>
      </c>
      <c r="Y10" s="12">
        <v>0</v>
      </c>
      <c r="Z10" s="12">
        <v>0</v>
      </c>
      <c r="AA10" s="13"/>
    </row>
    <row r="11" spans="1:27" ht="15.75" thickBot="1" x14ac:dyDescent="0.3">
      <c r="C11" s="14">
        <f>(C5*$B5)+(C6*$B6)+(C7*$B7)+(C8*$B8)+(C9*$B9)+(C10*$B10)</f>
        <v>2</v>
      </c>
      <c r="D11" s="14">
        <f t="shared" ref="D11:AA11" si="0">(D5*$B5)+(D6*$B6)+(D7*$B7)+(D8*$B8)+(D9*$B9)+(D10*$B10)</f>
        <v>20</v>
      </c>
      <c r="E11" s="14">
        <f t="shared" si="0"/>
        <v>-17</v>
      </c>
      <c r="F11" s="14">
        <f t="shared" si="0"/>
        <v>8</v>
      </c>
      <c r="G11" s="14">
        <f t="shared" si="0"/>
        <v>0</v>
      </c>
      <c r="H11" s="14">
        <f t="shared" si="0"/>
        <v>12</v>
      </c>
      <c r="I11" s="14">
        <f t="shared" si="0"/>
        <v>10</v>
      </c>
      <c r="J11" s="14">
        <f t="shared" si="0"/>
        <v>5</v>
      </c>
      <c r="K11" s="14">
        <f t="shared" si="0"/>
        <v>16</v>
      </c>
      <c r="L11" s="14">
        <f t="shared" si="0"/>
        <v>0</v>
      </c>
      <c r="M11" s="14">
        <f t="shared" si="0"/>
        <v>12</v>
      </c>
      <c r="N11" s="14">
        <f t="shared" si="0"/>
        <v>12</v>
      </c>
      <c r="O11" s="14">
        <f t="shared" si="0"/>
        <v>9</v>
      </c>
      <c r="P11" s="14">
        <f t="shared" si="0"/>
        <v>7</v>
      </c>
      <c r="Q11" s="15">
        <f t="shared" si="0"/>
        <v>0</v>
      </c>
      <c r="R11" s="14">
        <f t="shared" si="0"/>
        <v>13</v>
      </c>
      <c r="S11" s="14">
        <f t="shared" si="0"/>
        <v>-7</v>
      </c>
      <c r="T11" s="14">
        <f t="shared" si="0"/>
        <v>-2</v>
      </c>
      <c r="U11" s="14">
        <f t="shared" si="0"/>
        <v>-2</v>
      </c>
      <c r="V11" s="15">
        <f t="shared" si="0"/>
        <v>0</v>
      </c>
      <c r="W11" s="14">
        <f t="shared" si="0"/>
        <v>12</v>
      </c>
      <c r="X11" s="14">
        <f t="shared" si="0"/>
        <v>16</v>
      </c>
      <c r="Y11" s="14">
        <f t="shared" si="0"/>
        <v>6</v>
      </c>
      <c r="Z11" s="14">
        <f t="shared" si="0"/>
        <v>3</v>
      </c>
      <c r="AA11" s="15">
        <f t="shared" si="0"/>
        <v>0</v>
      </c>
    </row>
    <row r="12" spans="1:27" x14ac:dyDescent="0.25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/>
      <c r="H13" s="6">
        <v>0</v>
      </c>
      <c r="I13">
        <v>0</v>
      </c>
      <c r="J13">
        <v>0</v>
      </c>
      <c r="K13">
        <v>0</v>
      </c>
      <c r="L13" s="7"/>
      <c r="M13" s="6">
        <v>0</v>
      </c>
      <c r="N13">
        <v>0</v>
      </c>
      <c r="O13">
        <v>0</v>
      </c>
      <c r="P13">
        <v>1</v>
      </c>
      <c r="Q13" s="7"/>
      <c r="R13" s="6">
        <v>0</v>
      </c>
      <c r="S13">
        <v>0</v>
      </c>
      <c r="T13">
        <v>0</v>
      </c>
      <c r="U13">
        <v>0</v>
      </c>
      <c r="V13" s="7"/>
      <c r="W13" s="6">
        <v>0</v>
      </c>
      <c r="X13">
        <v>0</v>
      </c>
      <c r="Y13">
        <v>0</v>
      </c>
      <c r="Z13">
        <v>0</v>
      </c>
      <c r="AA13" s="7"/>
    </row>
    <row r="14" spans="1:27" outlineLevel="1" x14ac:dyDescent="0.25">
      <c r="A14" s="6" t="s">
        <v>64</v>
      </c>
      <c r="B14">
        <v>7</v>
      </c>
      <c r="C14" s="6">
        <v>0</v>
      </c>
      <c r="D14">
        <v>0</v>
      </c>
      <c r="E14">
        <v>1</v>
      </c>
      <c r="F14">
        <v>0</v>
      </c>
      <c r="G14" s="7"/>
      <c r="H14" s="6">
        <v>0</v>
      </c>
      <c r="I14">
        <v>0</v>
      </c>
      <c r="J14">
        <v>0</v>
      </c>
      <c r="K14">
        <v>1</v>
      </c>
      <c r="L14" s="7"/>
      <c r="M14" s="6">
        <v>0</v>
      </c>
      <c r="N14">
        <v>1</v>
      </c>
      <c r="O14">
        <v>0</v>
      </c>
      <c r="P14">
        <v>0</v>
      </c>
      <c r="Q14" s="7"/>
      <c r="R14" s="6">
        <v>0</v>
      </c>
      <c r="S14">
        <v>0</v>
      </c>
      <c r="T14">
        <v>1</v>
      </c>
      <c r="U14">
        <v>0</v>
      </c>
      <c r="V14" s="7"/>
      <c r="W14" s="6">
        <v>0</v>
      </c>
      <c r="X14">
        <v>0</v>
      </c>
      <c r="Y14">
        <v>0</v>
      </c>
      <c r="Z14">
        <v>0</v>
      </c>
      <c r="AA14" s="7"/>
    </row>
    <row r="15" spans="1:27" outlineLevel="1" x14ac:dyDescent="0.25">
      <c r="A15" s="6" t="s">
        <v>65</v>
      </c>
      <c r="B15">
        <v>3</v>
      </c>
      <c r="C15" s="6">
        <v>5</v>
      </c>
      <c r="D15">
        <v>5</v>
      </c>
      <c r="E15">
        <v>6</v>
      </c>
      <c r="F15">
        <v>6</v>
      </c>
      <c r="G15" s="7"/>
      <c r="H15" s="6">
        <v>5</v>
      </c>
      <c r="I15">
        <v>7</v>
      </c>
      <c r="J15">
        <v>4</v>
      </c>
      <c r="K15">
        <v>5</v>
      </c>
      <c r="L15" s="7"/>
      <c r="M15" s="6">
        <v>4</v>
      </c>
      <c r="N15">
        <v>5</v>
      </c>
      <c r="O15">
        <v>0</v>
      </c>
      <c r="P15">
        <v>3</v>
      </c>
      <c r="Q15" s="7"/>
      <c r="R15" s="6">
        <v>8</v>
      </c>
      <c r="S15">
        <v>2</v>
      </c>
      <c r="T15">
        <v>4</v>
      </c>
      <c r="U15">
        <v>5</v>
      </c>
      <c r="V15" s="7"/>
      <c r="W15" s="6">
        <v>3</v>
      </c>
      <c r="X15">
        <v>3</v>
      </c>
      <c r="Y15">
        <v>6</v>
      </c>
      <c r="Z15">
        <v>7</v>
      </c>
      <c r="AA15" s="7"/>
    </row>
    <row r="16" spans="1:27" outlineLevel="1" x14ac:dyDescent="0.25">
      <c r="A16" s="6" t="s">
        <v>66</v>
      </c>
      <c r="B16">
        <v>-2</v>
      </c>
      <c r="C16" s="6">
        <v>4</v>
      </c>
      <c r="D16">
        <v>0</v>
      </c>
      <c r="E16">
        <v>4</v>
      </c>
      <c r="F16">
        <v>1</v>
      </c>
      <c r="G16" s="7"/>
      <c r="H16" s="6">
        <v>2</v>
      </c>
      <c r="I16">
        <v>2</v>
      </c>
      <c r="J16">
        <v>6</v>
      </c>
      <c r="K16">
        <v>4</v>
      </c>
      <c r="L16" s="7"/>
      <c r="M16" s="6">
        <v>5</v>
      </c>
      <c r="N16">
        <v>1</v>
      </c>
      <c r="O16">
        <v>4</v>
      </c>
      <c r="P16">
        <v>1</v>
      </c>
      <c r="Q16" s="7"/>
      <c r="R16" s="6">
        <v>2</v>
      </c>
      <c r="S16">
        <v>3</v>
      </c>
      <c r="T16">
        <v>2</v>
      </c>
      <c r="U16">
        <v>3</v>
      </c>
      <c r="V16" s="7"/>
      <c r="W16" s="6">
        <v>2</v>
      </c>
      <c r="X16">
        <v>0</v>
      </c>
      <c r="Y16">
        <v>3</v>
      </c>
      <c r="Z16">
        <v>2</v>
      </c>
      <c r="AA16" s="7"/>
    </row>
    <row r="17" spans="1:27" outlineLevel="1" x14ac:dyDescent="0.25">
      <c r="A17" s="6" t="s">
        <v>67</v>
      </c>
      <c r="B17">
        <v>-4</v>
      </c>
      <c r="C17" s="6">
        <v>1</v>
      </c>
      <c r="D17">
        <v>0</v>
      </c>
      <c r="E17">
        <v>0</v>
      </c>
      <c r="F17">
        <v>2</v>
      </c>
      <c r="G17" s="7"/>
      <c r="H17" s="6">
        <v>0</v>
      </c>
      <c r="I17">
        <v>0</v>
      </c>
      <c r="J17">
        <v>0</v>
      </c>
      <c r="K17">
        <v>0</v>
      </c>
      <c r="L17" s="7"/>
      <c r="M17" s="6">
        <v>0</v>
      </c>
      <c r="N17">
        <v>1</v>
      </c>
      <c r="O17">
        <v>0</v>
      </c>
      <c r="P17">
        <v>0</v>
      </c>
      <c r="Q17" s="7"/>
      <c r="R17" s="6">
        <v>0</v>
      </c>
      <c r="S17">
        <v>0</v>
      </c>
      <c r="T17">
        <v>1</v>
      </c>
      <c r="U17">
        <v>0</v>
      </c>
      <c r="V17" s="7"/>
      <c r="W17" s="6">
        <v>0</v>
      </c>
      <c r="X17">
        <v>1</v>
      </c>
      <c r="Y17">
        <v>0</v>
      </c>
      <c r="Z17">
        <v>0</v>
      </c>
      <c r="AA17" s="7"/>
    </row>
    <row r="18" spans="1:27" ht="15.75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/>
      <c r="H18" s="11">
        <v>0</v>
      </c>
      <c r="I18" s="12">
        <v>0</v>
      </c>
      <c r="J18" s="12">
        <v>0</v>
      </c>
      <c r="K18" s="12">
        <v>0</v>
      </c>
      <c r="L18" s="13"/>
      <c r="M18" s="11">
        <v>0</v>
      </c>
      <c r="N18" s="12">
        <v>0</v>
      </c>
      <c r="O18" s="12">
        <v>0</v>
      </c>
      <c r="P18" s="12">
        <v>1</v>
      </c>
      <c r="Q18" s="13"/>
      <c r="R18" s="11">
        <v>0</v>
      </c>
      <c r="S18" s="12">
        <v>0</v>
      </c>
      <c r="T18" s="12">
        <v>0</v>
      </c>
      <c r="U18" s="12">
        <v>0</v>
      </c>
      <c r="V18" s="13"/>
      <c r="W18" s="11">
        <v>0</v>
      </c>
      <c r="X18" s="12">
        <v>0</v>
      </c>
      <c r="Y18" s="12">
        <v>0</v>
      </c>
      <c r="Z18" s="12">
        <v>0</v>
      </c>
      <c r="AA18" s="13"/>
    </row>
    <row r="19" spans="1:27" ht="15.75" thickBot="1" x14ac:dyDescent="0.3">
      <c r="C19" s="14">
        <f>(C13*$B13)+(C14*$B14)+(C15*$B15)+(C16*$B16)+(C17*$B17)+(C18*$B18)</f>
        <v>3</v>
      </c>
      <c r="D19" s="14">
        <f t="shared" ref="D19:AA19" si="1">(D13*$B13)+(D14*$B14)+(D15*$B15)+(D16*$B16)+(D17*$B17)+(D18*$B18)</f>
        <v>15</v>
      </c>
      <c r="E19" s="14">
        <f t="shared" si="1"/>
        <v>17</v>
      </c>
      <c r="F19" s="14">
        <f t="shared" si="1"/>
        <v>8</v>
      </c>
      <c r="G19" s="14">
        <f t="shared" si="1"/>
        <v>0</v>
      </c>
      <c r="H19" s="14">
        <f t="shared" si="1"/>
        <v>11</v>
      </c>
      <c r="I19" s="14">
        <f t="shared" si="1"/>
        <v>17</v>
      </c>
      <c r="J19" s="14">
        <f t="shared" si="1"/>
        <v>0</v>
      </c>
      <c r="K19" s="14">
        <f t="shared" si="1"/>
        <v>14</v>
      </c>
      <c r="L19" s="14">
        <f t="shared" si="1"/>
        <v>0</v>
      </c>
      <c r="M19" s="14">
        <f t="shared" si="1"/>
        <v>2</v>
      </c>
      <c r="N19" s="14">
        <f t="shared" si="1"/>
        <v>16</v>
      </c>
      <c r="O19" s="14">
        <f t="shared" si="1"/>
        <v>-8</v>
      </c>
      <c r="P19" s="14">
        <f t="shared" si="1"/>
        <v>16</v>
      </c>
      <c r="Q19" s="15">
        <f t="shared" si="1"/>
        <v>0</v>
      </c>
      <c r="R19" s="14">
        <f t="shared" si="1"/>
        <v>20</v>
      </c>
      <c r="S19" s="14">
        <f t="shared" si="1"/>
        <v>0</v>
      </c>
      <c r="T19" s="14">
        <f t="shared" si="1"/>
        <v>11</v>
      </c>
      <c r="U19" s="14">
        <f t="shared" si="1"/>
        <v>9</v>
      </c>
      <c r="V19" s="15">
        <f t="shared" si="1"/>
        <v>0</v>
      </c>
      <c r="W19" s="14">
        <f t="shared" si="1"/>
        <v>5</v>
      </c>
      <c r="X19" s="14">
        <f t="shared" si="1"/>
        <v>5</v>
      </c>
      <c r="Y19" s="14">
        <f t="shared" si="1"/>
        <v>12</v>
      </c>
      <c r="Z19" s="14">
        <f t="shared" si="1"/>
        <v>17</v>
      </c>
      <c r="AA19" s="15">
        <f t="shared" si="1"/>
        <v>0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/>
      <c r="H21" s="6">
        <v>0</v>
      </c>
      <c r="I21">
        <v>0</v>
      </c>
      <c r="J21">
        <v>0</v>
      </c>
      <c r="K21">
        <v>0</v>
      </c>
      <c r="L21" s="7"/>
      <c r="M21" s="6">
        <v>0</v>
      </c>
      <c r="N21">
        <v>0</v>
      </c>
      <c r="O21">
        <v>0</v>
      </c>
      <c r="P21">
        <v>0</v>
      </c>
      <c r="Q21" s="7"/>
      <c r="R21" s="6">
        <v>0</v>
      </c>
      <c r="S21">
        <v>0</v>
      </c>
      <c r="T21">
        <v>0</v>
      </c>
      <c r="U21">
        <v>0</v>
      </c>
      <c r="V21" s="7"/>
      <c r="W21" s="6">
        <v>0</v>
      </c>
      <c r="X21">
        <v>0</v>
      </c>
      <c r="Y21">
        <v>0</v>
      </c>
      <c r="Z21">
        <v>0</v>
      </c>
      <c r="AA21" s="7"/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/>
      <c r="H22" s="6">
        <v>0</v>
      </c>
      <c r="I22">
        <v>0</v>
      </c>
      <c r="J22">
        <v>0</v>
      </c>
      <c r="K22">
        <v>0</v>
      </c>
      <c r="L22" s="7"/>
      <c r="M22" s="6">
        <v>0</v>
      </c>
      <c r="N22">
        <v>1</v>
      </c>
      <c r="O22">
        <v>0</v>
      </c>
      <c r="P22">
        <v>0</v>
      </c>
      <c r="Q22" s="7"/>
      <c r="R22" s="6">
        <v>2</v>
      </c>
      <c r="S22">
        <v>0</v>
      </c>
      <c r="T22">
        <v>0</v>
      </c>
      <c r="U22">
        <v>0</v>
      </c>
      <c r="V22" s="7"/>
      <c r="W22" s="6">
        <v>0</v>
      </c>
      <c r="X22">
        <v>0</v>
      </c>
      <c r="Y22">
        <v>0</v>
      </c>
      <c r="Z22">
        <v>0</v>
      </c>
      <c r="AA22" s="7"/>
    </row>
    <row r="23" spans="1:27" outlineLevel="1" x14ac:dyDescent="0.25">
      <c r="A23" s="6" t="s">
        <v>65</v>
      </c>
      <c r="B23">
        <v>3</v>
      </c>
      <c r="C23" s="6">
        <v>4</v>
      </c>
      <c r="D23">
        <v>4</v>
      </c>
      <c r="E23">
        <v>3</v>
      </c>
      <c r="F23">
        <v>5</v>
      </c>
      <c r="G23" s="7"/>
      <c r="H23" s="6">
        <v>8</v>
      </c>
      <c r="I23">
        <v>5</v>
      </c>
      <c r="J23">
        <v>7</v>
      </c>
      <c r="K23">
        <v>5</v>
      </c>
      <c r="L23" s="7"/>
      <c r="M23" s="6">
        <v>1</v>
      </c>
      <c r="N23">
        <v>8</v>
      </c>
      <c r="O23">
        <v>7</v>
      </c>
      <c r="P23">
        <v>4</v>
      </c>
      <c r="Q23" s="7"/>
      <c r="R23" s="6">
        <v>4</v>
      </c>
      <c r="S23">
        <v>5</v>
      </c>
      <c r="T23">
        <v>6</v>
      </c>
      <c r="U23">
        <v>5</v>
      </c>
      <c r="V23" s="7"/>
      <c r="W23" s="6">
        <v>8</v>
      </c>
      <c r="X23">
        <v>7</v>
      </c>
      <c r="Y23">
        <v>7</v>
      </c>
      <c r="Z23">
        <v>5</v>
      </c>
      <c r="AA23" s="7"/>
    </row>
    <row r="24" spans="1:27" outlineLevel="1" x14ac:dyDescent="0.25">
      <c r="A24" s="6" t="s">
        <v>66</v>
      </c>
      <c r="B24">
        <v>-2</v>
      </c>
      <c r="C24" s="6">
        <v>2</v>
      </c>
      <c r="D24">
        <v>3</v>
      </c>
      <c r="E24">
        <v>5</v>
      </c>
      <c r="F24">
        <v>1</v>
      </c>
      <c r="G24" s="7"/>
      <c r="H24" s="6">
        <v>1</v>
      </c>
      <c r="I24">
        <v>1</v>
      </c>
      <c r="J24">
        <v>3</v>
      </c>
      <c r="K24">
        <v>4</v>
      </c>
      <c r="L24" s="7"/>
      <c r="M24" s="6">
        <v>0</v>
      </c>
      <c r="N24">
        <v>1</v>
      </c>
      <c r="O24">
        <v>3</v>
      </c>
      <c r="P24">
        <v>1</v>
      </c>
      <c r="Q24" s="7"/>
      <c r="R24" s="6">
        <v>1</v>
      </c>
      <c r="S24">
        <v>1</v>
      </c>
      <c r="T24">
        <v>3</v>
      </c>
      <c r="U24">
        <v>4</v>
      </c>
      <c r="V24" s="7"/>
      <c r="W24" s="6">
        <v>5</v>
      </c>
      <c r="X24">
        <v>1</v>
      </c>
      <c r="Y24">
        <v>1</v>
      </c>
      <c r="Z24">
        <v>1</v>
      </c>
      <c r="AA24" s="7"/>
    </row>
    <row r="25" spans="1:27" outlineLevel="1" x14ac:dyDescent="0.25">
      <c r="A25" s="6" t="s">
        <v>67</v>
      </c>
      <c r="B25">
        <v>-4</v>
      </c>
      <c r="C25" s="6">
        <v>0</v>
      </c>
      <c r="D25">
        <v>0</v>
      </c>
      <c r="E25">
        <v>1</v>
      </c>
      <c r="F25">
        <v>0</v>
      </c>
      <c r="G25" s="7"/>
      <c r="H25" s="6">
        <v>1</v>
      </c>
      <c r="I25">
        <v>0</v>
      </c>
      <c r="J25">
        <v>0</v>
      </c>
      <c r="K25">
        <v>0</v>
      </c>
      <c r="L25" s="7"/>
      <c r="M25" s="6">
        <v>0</v>
      </c>
      <c r="N25">
        <v>1</v>
      </c>
      <c r="O25">
        <v>0</v>
      </c>
      <c r="P25">
        <v>0</v>
      </c>
      <c r="Q25" s="7"/>
      <c r="R25" s="6">
        <v>0</v>
      </c>
      <c r="S25">
        <v>0</v>
      </c>
      <c r="T25">
        <v>0</v>
      </c>
      <c r="U25">
        <v>0</v>
      </c>
      <c r="V25" s="7"/>
      <c r="W25" s="6">
        <v>0</v>
      </c>
      <c r="X25">
        <v>1</v>
      </c>
      <c r="Y25">
        <v>0</v>
      </c>
      <c r="Z25">
        <v>0</v>
      </c>
      <c r="AA25" s="7"/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1</v>
      </c>
      <c r="F26" s="12">
        <v>0</v>
      </c>
      <c r="G26" s="13"/>
      <c r="H26" s="11">
        <v>1</v>
      </c>
      <c r="I26" s="12">
        <v>0</v>
      </c>
      <c r="J26" s="12">
        <v>0</v>
      </c>
      <c r="K26" s="12">
        <v>0</v>
      </c>
      <c r="L26" s="13"/>
      <c r="M26" s="11">
        <v>0</v>
      </c>
      <c r="N26" s="12">
        <v>0</v>
      </c>
      <c r="O26" s="12">
        <v>0</v>
      </c>
      <c r="P26" s="12">
        <v>0</v>
      </c>
      <c r="Q26" s="13"/>
      <c r="R26" s="11">
        <v>0</v>
      </c>
      <c r="S26" s="12">
        <v>1</v>
      </c>
      <c r="T26" s="12">
        <v>1</v>
      </c>
      <c r="U26" s="12">
        <v>0</v>
      </c>
      <c r="V26" s="13"/>
      <c r="W26" s="11">
        <v>0</v>
      </c>
      <c r="X26" s="12">
        <v>0</v>
      </c>
      <c r="Y26" s="12">
        <v>0</v>
      </c>
      <c r="Z26" s="12">
        <v>0</v>
      </c>
      <c r="AA26" s="13"/>
    </row>
    <row r="27" spans="1:27" ht="15.75" thickBot="1" x14ac:dyDescent="0.3">
      <c r="C27" s="14">
        <f>(C21*$B21)+(C22*$B22)+(C23*$B23)+(C24*$B24)+(C25*$B25)+(C26*$B26)</f>
        <v>8</v>
      </c>
      <c r="D27" s="14">
        <f t="shared" ref="D27:AA27" si="2">(D21*$B21)+(D22*$B22)+(D23*$B23)+(D24*$B24)+(D25*$B25)+(D26*$B26)</f>
        <v>6</v>
      </c>
      <c r="E27" s="14">
        <f t="shared" si="2"/>
        <v>-11</v>
      </c>
      <c r="F27" s="14">
        <f t="shared" si="2"/>
        <v>13</v>
      </c>
      <c r="G27" s="14">
        <f t="shared" si="2"/>
        <v>0</v>
      </c>
      <c r="H27" s="14">
        <f t="shared" si="2"/>
        <v>12</v>
      </c>
      <c r="I27" s="14">
        <f t="shared" si="2"/>
        <v>13</v>
      </c>
      <c r="J27" s="14">
        <f t="shared" si="2"/>
        <v>15</v>
      </c>
      <c r="K27" s="14">
        <f t="shared" si="2"/>
        <v>7</v>
      </c>
      <c r="L27" s="14">
        <f t="shared" si="2"/>
        <v>0</v>
      </c>
      <c r="M27" s="14">
        <f t="shared" si="2"/>
        <v>3</v>
      </c>
      <c r="N27" s="14">
        <f t="shared" si="2"/>
        <v>25</v>
      </c>
      <c r="O27" s="14">
        <f t="shared" si="2"/>
        <v>15</v>
      </c>
      <c r="P27" s="14">
        <f t="shared" si="2"/>
        <v>10</v>
      </c>
      <c r="Q27" s="15">
        <f t="shared" si="2"/>
        <v>0</v>
      </c>
      <c r="R27" s="14">
        <f t="shared" si="2"/>
        <v>24</v>
      </c>
      <c r="S27" s="14">
        <f t="shared" si="2"/>
        <v>7</v>
      </c>
      <c r="T27" s="14">
        <f t="shared" si="2"/>
        <v>6</v>
      </c>
      <c r="U27" s="14">
        <f t="shared" si="2"/>
        <v>7</v>
      </c>
      <c r="V27" s="15">
        <f t="shared" si="2"/>
        <v>0</v>
      </c>
      <c r="W27" s="14">
        <f t="shared" si="2"/>
        <v>14</v>
      </c>
      <c r="X27" s="14">
        <f t="shared" si="2"/>
        <v>15</v>
      </c>
      <c r="Y27" s="14">
        <f t="shared" si="2"/>
        <v>19</v>
      </c>
      <c r="Z27" s="14">
        <f t="shared" si="2"/>
        <v>13</v>
      </c>
      <c r="AA27" s="15">
        <f t="shared" si="2"/>
        <v>0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/>
      <c r="H29" s="6">
        <v>0</v>
      </c>
      <c r="I29">
        <v>0</v>
      </c>
      <c r="J29">
        <v>0</v>
      </c>
      <c r="K29">
        <v>0</v>
      </c>
      <c r="L29" s="7"/>
      <c r="M29" s="6">
        <v>0</v>
      </c>
      <c r="N29">
        <v>0</v>
      </c>
      <c r="O29">
        <v>0</v>
      </c>
      <c r="P29">
        <v>0</v>
      </c>
      <c r="Q29" s="7"/>
      <c r="R29" s="6">
        <v>0</v>
      </c>
      <c r="S29">
        <v>0</v>
      </c>
      <c r="T29">
        <v>0</v>
      </c>
      <c r="U29">
        <v>0</v>
      </c>
      <c r="V29" s="7"/>
      <c r="W29" s="6">
        <v>0</v>
      </c>
      <c r="X29">
        <v>0</v>
      </c>
      <c r="Y29">
        <v>0</v>
      </c>
      <c r="Z29">
        <v>0</v>
      </c>
      <c r="AA29" s="7"/>
    </row>
    <row r="30" spans="1:27" outlineLevel="1" x14ac:dyDescent="0.25">
      <c r="A30" s="6" t="s">
        <v>64</v>
      </c>
      <c r="B30">
        <v>7</v>
      </c>
      <c r="C30" s="6">
        <v>2</v>
      </c>
      <c r="D30">
        <v>0</v>
      </c>
      <c r="E30">
        <v>0</v>
      </c>
      <c r="F30">
        <v>0</v>
      </c>
      <c r="G30" s="7"/>
      <c r="H30" s="6">
        <v>0</v>
      </c>
      <c r="I30">
        <v>0</v>
      </c>
      <c r="J30">
        <v>0</v>
      </c>
      <c r="K30">
        <v>0</v>
      </c>
      <c r="L30" s="7"/>
      <c r="M30" s="6">
        <v>0</v>
      </c>
      <c r="N30">
        <v>0</v>
      </c>
      <c r="O30">
        <v>1</v>
      </c>
      <c r="P30">
        <v>0</v>
      </c>
      <c r="Q30" s="7"/>
      <c r="R30" s="6">
        <v>0</v>
      </c>
      <c r="S30">
        <v>0</v>
      </c>
      <c r="T30">
        <v>1</v>
      </c>
      <c r="U30">
        <v>0</v>
      </c>
      <c r="V30" s="7"/>
      <c r="W30" s="6">
        <v>0</v>
      </c>
      <c r="X30">
        <v>0</v>
      </c>
      <c r="Y30">
        <v>0</v>
      </c>
      <c r="Z30">
        <v>0</v>
      </c>
      <c r="AA30" s="7"/>
    </row>
    <row r="31" spans="1:27" outlineLevel="1" x14ac:dyDescent="0.25">
      <c r="A31" s="6" t="s">
        <v>65</v>
      </c>
      <c r="B31">
        <v>3</v>
      </c>
      <c r="C31" s="6">
        <v>5</v>
      </c>
      <c r="D31">
        <v>6</v>
      </c>
      <c r="E31">
        <v>4</v>
      </c>
      <c r="F31">
        <v>9</v>
      </c>
      <c r="G31" s="7"/>
      <c r="H31" s="6">
        <v>5</v>
      </c>
      <c r="I31">
        <v>6</v>
      </c>
      <c r="J31">
        <v>7</v>
      </c>
      <c r="K31">
        <v>5</v>
      </c>
      <c r="L31" s="7"/>
      <c r="M31" s="6">
        <v>5</v>
      </c>
      <c r="N31">
        <v>4</v>
      </c>
      <c r="O31">
        <v>4</v>
      </c>
      <c r="P31">
        <v>5</v>
      </c>
      <c r="Q31" s="7"/>
      <c r="R31" s="6">
        <v>4</v>
      </c>
      <c r="S31">
        <v>6</v>
      </c>
      <c r="T31">
        <v>5</v>
      </c>
      <c r="U31">
        <v>5</v>
      </c>
      <c r="V31" s="7"/>
      <c r="W31" s="6">
        <v>4</v>
      </c>
      <c r="X31">
        <v>7</v>
      </c>
      <c r="Y31">
        <v>3</v>
      </c>
      <c r="Z31">
        <v>8</v>
      </c>
      <c r="AA31" s="7"/>
    </row>
    <row r="32" spans="1:27" outlineLevel="1" x14ac:dyDescent="0.25">
      <c r="A32" s="6" t="s">
        <v>66</v>
      </c>
      <c r="B32">
        <v>-2</v>
      </c>
      <c r="C32" s="6">
        <v>1</v>
      </c>
      <c r="D32">
        <v>2</v>
      </c>
      <c r="E32">
        <v>3</v>
      </c>
      <c r="F32">
        <v>3</v>
      </c>
      <c r="G32" s="7"/>
      <c r="H32" s="6">
        <v>1</v>
      </c>
      <c r="I32">
        <v>1</v>
      </c>
      <c r="J32">
        <v>3</v>
      </c>
      <c r="K32">
        <v>3</v>
      </c>
      <c r="L32" s="7"/>
      <c r="M32" s="6">
        <v>2</v>
      </c>
      <c r="N32">
        <v>2</v>
      </c>
      <c r="O32">
        <v>3</v>
      </c>
      <c r="P32">
        <v>3</v>
      </c>
      <c r="Q32" s="7"/>
      <c r="R32" s="6">
        <v>0</v>
      </c>
      <c r="S32">
        <v>2</v>
      </c>
      <c r="T32">
        <v>4</v>
      </c>
      <c r="U32">
        <v>3</v>
      </c>
      <c r="V32" s="7"/>
      <c r="W32" s="6">
        <v>1</v>
      </c>
      <c r="X32">
        <v>2</v>
      </c>
      <c r="Y32">
        <v>5</v>
      </c>
      <c r="Z32">
        <v>0</v>
      </c>
      <c r="AA32" s="7"/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0</v>
      </c>
      <c r="F33">
        <v>0</v>
      </c>
      <c r="G33" s="7"/>
      <c r="H33" s="6">
        <v>0</v>
      </c>
      <c r="I33">
        <v>0</v>
      </c>
      <c r="J33">
        <v>0</v>
      </c>
      <c r="K33">
        <v>0</v>
      </c>
      <c r="L33" s="7"/>
      <c r="M33" s="6">
        <v>0</v>
      </c>
      <c r="N33">
        <v>0</v>
      </c>
      <c r="O33">
        <v>0</v>
      </c>
      <c r="P33">
        <v>0</v>
      </c>
      <c r="Q33" s="7"/>
      <c r="R33" s="6">
        <v>0</v>
      </c>
      <c r="S33">
        <v>1</v>
      </c>
      <c r="T33">
        <v>0</v>
      </c>
      <c r="U33">
        <v>1</v>
      </c>
      <c r="V33" s="7"/>
      <c r="W33" s="6">
        <v>1</v>
      </c>
      <c r="X33">
        <v>0</v>
      </c>
      <c r="Y33">
        <v>0</v>
      </c>
      <c r="Z33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/>
      <c r="H34" s="11">
        <v>0</v>
      </c>
      <c r="I34" s="12">
        <v>0</v>
      </c>
      <c r="J34" s="12">
        <v>0</v>
      </c>
      <c r="K34" s="12">
        <v>0</v>
      </c>
      <c r="L34" s="13"/>
      <c r="M34" s="11">
        <v>0</v>
      </c>
      <c r="N34" s="12">
        <v>0</v>
      </c>
      <c r="O34" s="12">
        <v>0</v>
      </c>
      <c r="P34" s="12">
        <v>0</v>
      </c>
      <c r="Q34" s="13"/>
      <c r="R34" s="11">
        <v>0</v>
      </c>
      <c r="S34" s="12">
        <v>0</v>
      </c>
      <c r="T34" s="12">
        <v>0</v>
      </c>
      <c r="U34" s="12">
        <v>0</v>
      </c>
      <c r="V34" s="13"/>
      <c r="W34" s="11">
        <v>1</v>
      </c>
      <c r="X34" s="12">
        <v>0</v>
      </c>
      <c r="Y34" s="12">
        <v>0</v>
      </c>
      <c r="Z34" s="12">
        <v>0</v>
      </c>
      <c r="AA34" s="13"/>
    </row>
    <row r="35" spans="1:27" ht="15.75" thickBot="1" x14ac:dyDescent="0.3">
      <c r="C35" s="14">
        <f>(C29*$B29)+(C30*$B30)+(C31*$B31)+(C32*$B32)+(C33*$B33)+(C34*$B34)</f>
        <v>27</v>
      </c>
      <c r="D35" s="14">
        <f t="shared" ref="D35:AA35" si="3">(D29*$B29)+(D30*$B30)+(D31*$B31)+(D32*$B32)+(D33*$B33)+(D34*$B34)</f>
        <v>14</v>
      </c>
      <c r="E35" s="14">
        <f t="shared" si="3"/>
        <v>6</v>
      </c>
      <c r="F35" s="14">
        <f t="shared" si="3"/>
        <v>21</v>
      </c>
      <c r="G35" s="14">
        <f t="shared" si="3"/>
        <v>0</v>
      </c>
      <c r="H35" s="14">
        <f t="shared" si="3"/>
        <v>13</v>
      </c>
      <c r="I35" s="14">
        <f t="shared" si="3"/>
        <v>16</v>
      </c>
      <c r="J35" s="14">
        <f t="shared" si="3"/>
        <v>15</v>
      </c>
      <c r="K35" s="14">
        <f t="shared" si="3"/>
        <v>9</v>
      </c>
      <c r="L35" s="14">
        <f t="shared" si="3"/>
        <v>0</v>
      </c>
      <c r="M35" s="14">
        <f t="shared" si="3"/>
        <v>11</v>
      </c>
      <c r="N35" s="14">
        <f t="shared" si="3"/>
        <v>8</v>
      </c>
      <c r="O35" s="14">
        <f t="shared" si="3"/>
        <v>13</v>
      </c>
      <c r="P35" s="14">
        <f t="shared" si="3"/>
        <v>9</v>
      </c>
      <c r="Q35" s="15">
        <f t="shared" si="3"/>
        <v>0</v>
      </c>
      <c r="R35" s="14">
        <f t="shared" si="3"/>
        <v>12</v>
      </c>
      <c r="S35" s="14">
        <f t="shared" si="3"/>
        <v>10</v>
      </c>
      <c r="T35" s="14">
        <f t="shared" si="3"/>
        <v>14</v>
      </c>
      <c r="U35" s="14">
        <f t="shared" si="3"/>
        <v>5</v>
      </c>
      <c r="V35" s="15">
        <f t="shared" si="3"/>
        <v>0</v>
      </c>
      <c r="W35" s="14">
        <f t="shared" si="3"/>
        <v>0</v>
      </c>
      <c r="X35" s="14">
        <f t="shared" si="3"/>
        <v>17</v>
      </c>
      <c r="Y35" s="14">
        <f t="shared" si="3"/>
        <v>-1</v>
      </c>
      <c r="Z35" s="14">
        <f t="shared" si="3"/>
        <v>24</v>
      </c>
      <c r="AA35" s="15">
        <f t="shared" si="3"/>
        <v>0</v>
      </c>
    </row>
    <row r="36" spans="1:27" ht="15.75" thickBot="1" x14ac:dyDescent="0.3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hidden="1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>
        <v>1</v>
      </c>
      <c r="V37" s="7"/>
      <c r="W37" s="6"/>
      <c r="AA37" s="7"/>
    </row>
    <row r="38" spans="1:27" hidden="1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Z38">
        <v>1</v>
      </c>
      <c r="AA38" s="7"/>
    </row>
    <row r="39" spans="1:27" hidden="1" outlineLevel="1" x14ac:dyDescent="0.25">
      <c r="A39" s="6" t="s">
        <v>75</v>
      </c>
      <c r="B39">
        <v>30</v>
      </c>
      <c r="C39" s="6"/>
      <c r="G39" s="7"/>
      <c r="H39" s="6"/>
      <c r="I39">
        <v>1</v>
      </c>
      <c r="L39" s="7"/>
      <c r="M39" s="6"/>
      <c r="Q39" s="7"/>
      <c r="R39" s="6"/>
      <c r="V39" s="7"/>
      <c r="W39" s="6"/>
      <c r="AA39" s="7"/>
    </row>
    <row r="40" spans="1:27" hidden="1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N40">
        <v>1</v>
      </c>
      <c r="Q40" s="7"/>
      <c r="R40" s="6"/>
      <c r="V40" s="7"/>
      <c r="W40" s="6"/>
      <c r="X40">
        <v>1</v>
      </c>
      <c r="AA40" s="7"/>
    </row>
    <row r="41" spans="1:27" hidden="1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hidden="1" outlineLevel="1" x14ac:dyDescent="0.25">
      <c r="A42" s="6" t="s">
        <v>78</v>
      </c>
      <c r="B42">
        <v>15</v>
      </c>
      <c r="C42" s="6"/>
      <c r="D42">
        <v>1</v>
      </c>
      <c r="G42" s="7"/>
      <c r="H42" s="6"/>
      <c r="L42" s="7"/>
      <c r="M42" s="6"/>
      <c r="Q42" s="7"/>
      <c r="R42" s="6"/>
      <c r="V42" s="7"/>
      <c r="W42" s="6"/>
      <c r="AA42" s="7"/>
    </row>
    <row r="43" spans="1:27" hidden="1" outlineLevel="1" x14ac:dyDescent="0.25">
      <c r="A43" s="6" t="s">
        <v>79</v>
      </c>
      <c r="B43">
        <v>14</v>
      </c>
      <c r="C43" s="6"/>
      <c r="G43" s="7"/>
      <c r="H43" s="6">
        <v>1</v>
      </c>
      <c r="L43" s="7"/>
      <c r="M43" s="6"/>
      <c r="Q43" s="7"/>
      <c r="R43" s="6"/>
      <c r="V43" s="7"/>
      <c r="W43" s="6"/>
      <c r="AA43" s="7"/>
    </row>
    <row r="44" spans="1:27" hidden="1" outlineLevel="1" x14ac:dyDescent="0.25">
      <c r="A44" s="6" t="s">
        <v>80</v>
      </c>
      <c r="B44">
        <v>13</v>
      </c>
      <c r="C44" s="6"/>
      <c r="F44">
        <v>1</v>
      </c>
      <c r="G44" s="7"/>
      <c r="H44" s="6"/>
      <c r="K44">
        <v>1</v>
      </c>
      <c r="L44" s="7"/>
      <c r="M44" s="6"/>
      <c r="Q44" s="7"/>
      <c r="R44" s="6"/>
      <c r="V44" s="7"/>
      <c r="W44" s="6"/>
      <c r="AA44" s="7"/>
    </row>
    <row r="45" spans="1:27" hidden="1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hidden="1" outlineLevel="1" x14ac:dyDescent="0.25">
      <c r="A46" s="6" t="s">
        <v>82</v>
      </c>
      <c r="B46">
        <v>11</v>
      </c>
      <c r="C46" s="6">
        <v>1</v>
      </c>
      <c r="G46" s="7"/>
      <c r="H46" s="6"/>
      <c r="L46" s="7"/>
      <c r="M46" s="6"/>
      <c r="Q46" s="7"/>
      <c r="R46" s="6"/>
      <c r="V46" s="7"/>
      <c r="W46" s="6"/>
      <c r="AA46" s="7"/>
    </row>
    <row r="47" spans="1:27" hidden="1" outlineLevel="1" x14ac:dyDescent="0.25">
      <c r="A47" s="6" t="s">
        <v>83</v>
      </c>
      <c r="B47">
        <v>10</v>
      </c>
      <c r="C47" s="6"/>
      <c r="G47" s="7"/>
      <c r="H47" s="6"/>
      <c r="J47">
        <v>1</v>
      </c>
      <c r="L47" s="7"/>
      <c r="M47" s="6">
        <v>1</v>
      </c>
      <c r="P47">
        <v>1</v>
      </c>
      <c r="Q47" s="7"/>
      <c r="R47" s="6"/>
      <c r="V47" s="7"/>
      <c r="W47" s="6">
        <v>1</v>
      </c>
      <c r="Y47">
        <v>1</v>
      </c>
      <c r="AA47" s="7"/>
    </row>
    <row r="48" spans="1:27" hidden="1" outlineLevel="1" x14ac:dyDescent="0.25">
      <c r="A48" s="6" t="s">
        <v>84</v>
      </c>
      <c r="B48">
        <v>5</v>
      </c>
      <c r="C48" s="6"/>
      <c r="E48">
        <v>1</v>
      </c>
      <c r="G48" s="7"/>
      <c r="H48" s="6"/>
      <c r="L48" s="7"/>
      <c r="M48" s="6"/>
      <c r="O48">
        <v>1</v>
      </c>
      <c r="Q48" s="7"/>
      <c r="R48" s="6"/>
      <c r="S48">
        <v>1</v>
      </c>
      <c r="T48">
        <v>1</v>
      </c>
      <c r="U48">
        <v>1</v>
      </c>
      <c r="V48" s="7"/>
      <c r="W48" s="6"/>
      <c r="AA48" s="7"/>
    </row>
    <row r="49" spans="1:27" hidden="1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/>
      <c r="AA49" s="7"/>
    </row>
    <row r="50" spans="1:27" hidden="1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Q50" s="7"/>
      <c r="R50" s="6"/>
      <c r="V50" s="7"/>
      <c r="W50" s="6"/>
      <c r="AA50" s="7"/>
    </row>
    <row r="51" spans="1:27" hidden="1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Q51" s="7"/>
      <c r="R51" s="6"/>
      <c r="V51" s="7"/>
      <c r="W51" s="6"/>
      <c r="AA51" s="7"/>
    </row>
    <row r="52" spans="1:27" ht="15.75" hidden="1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/>
      <c r="X52" s="12"/>
      <c r="Y52" s="12"/>
      <c r="Z52" s="12"/>
      <c r="AA52" s="13"/>
    </row>
    <row r="53" spans="1:27" ht="15.75" collapsed="1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/>
      <c r="L55" s="7"/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/>
      <c r="D56">
        <v>1</v>
      </c>
      <c r="G56" s="7"/>
      <c r="H56" s="6"/>
      <c r="L56" s="7"/>
      <c r="M56">
        <v>1</v>
      </c>
      <c r="Q56" s="7"/>
      <c r="R56">
        <v>1</v>
      </c>
      <c r="V56" s="7"/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>
        <v>1</v>
      </c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51</v>
      </c>
      <c r="D59" s="16" cm="1">
        <f t="array" ref="D59">SUM(D11,D19,D27,D35,(D37:D52)*($B37:$B52),((D55*$B55)+(D56*$B56)+(D57*$B57)))</f>
        <v>75</v>
      </c>
      <c r="E59" s="16" cm="1">
        <f t="array" ref="E59">SUM(E11,E19,E27,E35,(E37:E52)*($B37:$B52),((E55*$B55)+(E56*$B56)+(E57*$B57)))</f>
        <v>0</v>
      </c>
      <c r="F59" s="16" cm="1">
        <f t="array" ref="F59">SUM(F11,F19,F27,F35,(F37:F52)*($B37:$B52),((F55*$B55)+(F56*$B56)+(F57*$B57)))</f>
        <v>63</v>
      </c>
      <c r="G59" s="16" cm="1">
        <f t="array" ref="G59">SUM(G11,G19,G27,G35,(G37:G52)*($B37:$B52),((G55*$B55)+(G56*$B56)+(G57*$B57)))</f>
        <v>0</v>
      </c>
      <c r="H59" s="16" cm="1">
        <f t="array" ref="H59">SUM(H11,H19,H27,H35,(H37:H52)*($B37:$B52),((H55*$B55)+(H56*$B56)+(H57*$B57)))</f>
        <v>62</v>
      </c>
      <c r="I59" s="16" cm="1">
        <f t="array" ref="I59">SUM(I11,I19,I27,I35,(I37:I52)*($B37:$B52),((I55*$B55)+(I56*$B56)+(I57*$B57)))</f>
        <v>86</v>
      </c>
      <c r="J59" s="16" cm="1">
        <f t="array" ref="J59">SUM(J11,J19,J27,J35,(J37:J52)*($B37:$B52),((J55*$B55)+(J56*$B56)+(J57*$B57)))</f>
        <v>45</v>
      </c>
      <c r="K59" s="16" cm="1">
        <f t="array" ref="K59">SUM(K11,K19,K27,K35,(K37:K52)*($B37:$B52),((K55*$B55)+(K56*$B56)+(K57*$B57)))</f>
        <v>59</v>
      </c>
      <c r="L59" s="16" cm="1">
        <f t="array" ref="L59">SUM(L11,L19,L27,L35,(L37:L52)*($B37:$B52),((L55*$B55)+(L56*$B56)+(L57*$B57)))</f>
        <v>0</v>
      </c>
      <c r="M59" s="16" cm="1">
        <f t="array" ref="M59">SUM(M11,M19,M27,M35,(M37:M52)*($B37:$B52),((M55*$B55)+(M56*$B56)+(M57*$B57)))</f>
        <v>43</v>
      </c>
      <c r="N59" s="16" cm="1">
        <f t="array" ref="N59">SUM(N11,N19,N27,N35,(N37:N52)*($B37:$B52),((N55*$B55)+(N56*$B56)+(N57*$B57)))</f>
        <v>86</v>
      </c>
      <c r="O59" s="16" cm="1">
        <f t="array" ref="O59">SUM(O11,O19,O27,O35,(O37:O52)*($B37:$B52),((O55*$B55)+(O56*$B56)+(O57*$B57)))</f>
        <v>34</v>
      </c>
      <c r="P59" s="16" cm="1">
        <f t="array" ref="P59">SUM(P11,P19,P27,P35,(P37:P52)*($B37:$B52),((P55*$B55)+(P56*$B56)+(P57*$B57)))</f>
        <v>52</v>
      </c>
      <c r="Q59" s="16" cm="1">
        <f t="array" ref="Q59">SUM(Q11,Q19,Q27,Q35,(Q37:Q52)*($B37:$B52),((Q55*$B55)+(Q56*$B56)+(Q57*$B57)))</f>
        <v>0</v>
      </c>
      <c r="R59" s="16" cm="1">
        <f t="array" ref="R59">SUM(R11,R19,R27,R35,(R37:R52)*($B37:$B52),((R55*$B55)+(R56*$B56)+(R57*$B57)))</f>
        <v>131</v>
      </c>
      <c r="S59" s="16" cm="1">
        <f t="array" ref="S59">SUM(S11,S19,S27,S35,(S37:S52)*($B37:$B52),((S55*$B55)+(S56*$B56)+(S57*$B57)))</f>
        <v>15</v>
      </c>
      <c r="T59" s="16" cm="1">
        <f t="array" ref="T59">SUM(T11,T19,T27,T35,(T37:T52)*($B37:$B52),((T55*$B55)+(T56*$B56)+(T57*$B57)))</f>
        <v>34</v>
      </c>
      <c r="U59" s="16" cm="1">
        <f t="array" ref="U59">SUM(U11,U19,U27,U35,(U37:U52)*($B37:$B52),((U55*$B55)+(U56*$B56)+(U57*$B57)))</f>
        <v>24</v>
      </c>
      <c r="V59" s="16" cm="1">
        <f t="array" ref="V59">SUM(V11,V19,V27,V35,(V37:V52)*($B37:$B52),((V55*$B55)+(V56*$B56)+(V57*$B57)))</f>
        <v>0</v>
      </c>
      <c r="W59" s="16" cm="1">
        <f t="array" ref="W59">SUM(W11,W19,W27,W35,(W37:W52)*($B37:$B52),((W55*$B55)+(W56*$B56)+(W57*$B57)))</f>
        <v>41</v>
      </c>
      <c r="X59" s="16" cm="1">
        <f t="array" ref="X59">SUM(X11,X19,X27,X35,(X37:X52)*($B37:$B52),((X55*$B55)+(X56*$B56)+(X57*$B57)))</f>
        <v>78</v>
      </c>
      <c r="Y59" s="16" cm="1">
        <f t="array" ref="Y59">SUM(Y11,Y19,Y27,Y35,(Y37:Y52)*($B37:$B52),((Y55*$B55)+(Y56*$B56)+(Y57*$B57)))</f>
        <v>46</v>
      </c>
      <c r="Z59" s="16" cm="1">
        <f t="array" ref="Z59">SUM(Z11,Z19,Z27,Z35,(Z37:Z52)*($B37:$B52),((Z55*$B55)+(Z56*$B56)+(Z57*$B57)))</f>
        <v>97</v>
      </c>
      <c r="AA59" s="16" cm="1">
        <f t="array" ref="AA59">SUM(AA11,AA19,AA27,AA35,(AA37:AA52)*($B37:$B52),((AA55*$B55)+(AA56*$B56)+(AA57*$B57)))</f>
        <v>0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189</v>
      </c>
      <c r="D61" s="18"/>
      <c r="E61" s="18"/>
      <c r="F61" s="18"/>
      <c r="G61" s="19"/>
      <c r="H61" s="17">
        <f>SUM(H59:L59)</f>
        <v>252</v>
      </c>
      <c r="I61" s="18"/>
      <c r="J61" s="18"/>
      <c r="K61" s="18"/>
      <c r="L61" s="19"/>
      <c r="M61" s="17">
        <f>SUM(M59:Q59)</f>
        <v>215</v>
      </c>
      <c r="N61" s="18"/>
      <c r="O61" s="18"/>
      <c r="P61" s="18"/>
      <c r="Q61" s="19"/>
      <c r="R61" s="17">
        <f>SUM(R59:V59)</f>
        <v>204</v>
      </c>
      <c r="S61" s="18"/>
      <c r="T61" s="18"/>
      <c r="U61" s="18"/>
      <c r="V61" s="19"/>
      <c r="W61" s="17">
        <f>SUM(W59:AA59)</f>
        <v>262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AD3A-4971-4E34-82A5-BA59E1A3A789}">
  <sheetPr codeName="Sheet13">
    <tabColor theme="0"/>
  </sheetPr>
  <dimension ref="A1:AA61"/>
  <sheetViews>
    <sheetView topLeftCell="A21" zoomScale="70" zoomScaleNormal="70" workbookViewId="0">
      <selection activeCell="P57" sqref="P57"/>
    </sheetView>
  </sheetViews>
  <sheetFormatPr defaultRowHeight="15" outlineLevelRow="1" x14ac:dyDescent="0.25"/>
  <sheetData>
    <row r="1" spans="1:27" ht="15.75" thickBot="1" x14ac:dyDescent="0.3">
      <c r="A1" t="s">
        <v>190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191</v>
      </c>
      <c r="D2" s="4" t="s">
        <v>194</v>
      </c>
      <c r="E2" s="4" t="s">
        <v>98</v>
      </c>
      <c r="F2" s="4" t="s">
        <v>124</v>
      </c>
      <c r="G2" s="43" t="s">
        <v>196</v>
      </c>
      <c r="H2" s="3" t="s">
        <v>109</v>
      </c>
      <c r="I2" s="4" t="s">
        <v>193</v>
      </c>
      <c r="J2" s="4" t="s">
        <v>174</v>
      </c>
      <c r="K2" s="4" t="s">
        <v>142</v>
      </c>
      <c r="L2" t="s">
        <v>187</v>
      </c>
      <c r="M2" t="s">
        <v>192</v>
      </c>
      <c r="N2" s="4" t="s">
        <v>141</v>
      </c>
      <c r="O2" s="4" t="s">
        <v>107</v>
      </c>
      <c r="P2" s="4" t="s">
        <v>195</v>
      </c>
      <c r="Q2" s="43" t="s">
        <v>146</v>
      </c>
      <c r="R2" s="3" t="s">
        <v>123</v>
      </c>
      <c r="S2" s="4" t="s">
        <v>144</v>
      </c>
      <c r="T2" s="4" t="s">
        <v>96</v>
      </c>
      <c r="U2" s="4" t="s">
        <v>105</v>
      </c>
      <c r="V2" s="5" t="s">
        <v>102</v>
      </c>
      <c r="W2" s="3" t="s">
        <v>169</v>
      </c>
      <c r="X2" s="4" t="s">
        <v>106</v>
      </c>
      <c r="Y2" s="4" t="s">
        <v>111</v>
      </c>
      <c r="Z2" s="4" t="s">
        <v>163</v>
      </c>
      <c r="AA2" s="5" t="s">
        <v>97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x14ac:dyDescent="0.25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outlineLevel="1" x14ac:dyDescent="0.25">
      <c r="A6" s="6" t="s">
        <v>64</v>
      </c>
      <c r="B6">
        <v>7</v>
      </c>
      <c r="C6" s="6">
        <v>0</v>
      </c>
      <c r="D6">
        <v>1</v>
      </c>
      <c r="E6">
        <v>0</v>
      </c>
      <c r="F6">
        <v>0</v>
      </c>
      <c r="G6" s="7">
        <v>0</v>
      </c>
      <c r="H6" s="6">
        <v>0</v>
      </c>
      <c r="I6">
        <v>0</v>
      </c>
      <c r="J6">
        <v>0</v>
      </c>
      <c r="K6">
        <v>0</v>
      </c>
      <c r="L6" s="7">
        <v>0</v>
      </c>
      <c r="M6" s="6">
        <v>0</v>
      </c>
      <c r="N6">
        <v>0</v>
      </c>
      <c r="O6">
        <v>0</v>
      </c>
      <c r="P6">
        <v>0</v>
      </c>
      <c r="Q6" s="7">
        <v>0</v>
      </c>
      <c r="R6" s="6">
        <v>1</v>
      </c>
      <c r="S6">
        <v>1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0</v>
      </c>
      <c r="Z6">
        <v>0</v>
      </c>
      <c r="AA6" s="7">
        <v>0</v>
      </c>
    </row>
    <row r="7" spans="1:27" outlineLevel="1" x14ac:dyDescent="0.25">
      <c r="A7" s="6" t="s">
        <v>65</v>
      </c>
      <c r="B7">
        <v>3</v>
      </c>
      <c r="C7" s="6">
        <v>4</v>
      </c>
      <c r="D7">
        <v>7</v>
      </c>
      <c r="E7">
        <v>5</v>
      </c>
      <c r="F7">
        <v>4</v>
      </c>
      <c r="G7" s="7">
        <v>2</v>
      </c>
      <c r="H7" s="6">
        <v>8</v>
      </c>
      <c r="I7">
        <v>2</v>
      </c>
      <c r="J7">
        <v>5</v>
      </c>
      <c r="K7">
        <v>4</v>
      </c>
      <c r="L7" s="7">
        <v>3</v>
      </c>
      <c r="M7" s="6">
        <v>2</v>
      </c>
      <c r="N7">
        <v>5</v>
      </c>
      <c r="O7">
        <v>4</v>
      </c>
      <c r="P7">
        <v>3</v>
      </c>
      <c r="Q7" s="7">
        <v>6</v>
      </c>
      <c r="R7" s="6">
        <v>3</v>
      </c>
      <c r="S7">
        <v>2</v>
      </c>
      <c r="T7">
        <v>6</v>
      </c>
      <c r="U7">
        <v>4</v>
      </c>
      <c r="V7" s="7">
        <v>7</v>
      </c>
      <c r="W7" s="6">
        <v>6</v>
      </c>
      <c r="X7">
        <v>7</v>
      </c>
      <c r="Y7">
        <v>4</v>
      </c>
      <c r="Z7">
        <v>4</v>
      </c>
      <c r="AA7" s="7">
        <v>6</v>
      </c>
    </row>
    <row r="8" spans="1:27" outlineLevel="1" x14ac:dyDescent="0.25">
      <c r="A8" s="6" t="s">
        <v>66</v>
      </c>
      <c r="B8">
        <v>-2</v>
      </c>
      <c r="C8" s="6">
        <v>3</v>
      </c>
      <c r="D8">
        <v>2</v>
      </c>
      <c r="E8">
        <v>0</v>
      </c>
      <c r="F8">
        <v>2</v>
      </c>
      <c r="G8" s="7">
        <v>2</v>
      </c>
      <c r="H8" s="6">
        <v>2</v>
      </c>
      <c r="I8">
        <v>2</v>
      </c>
      <c r="J8">
        <v>2</v>
      </c>
      <c r="K8">
        <v>2</v>
      </c>
      <c r="L8" s="7">
        <v>1</v>
      </c>
      <c r="M8" s="6">
        <v>4</v>
      </c>
      <c r="N8">
        <v>1</v>
      </c>
      <c r="O8">
        <v>0</v>
      </c>
      <c r="P8">
        <v>0</v>
      </c>
      <c r="Q8" s="7">
        <v>0</v>
      </c>
      <c r="R8" s="6">
        <v>0</v>
      </c>
      <c r="S8">
        <v>2</v>
      </c>
      <c r="T8">
        <v>1</v>
      </c>
      <c r="U8">
        <v>0</v>
      </c>
      <c r="V8" s="7">
        <v>0</v>
      </c>
      <c r="W8" s="6">
        <v>0</v>
      </c>
      <c r="X8">
        <v>4</v>
      </c>
      <c r="Y8">
        <v>1</v>
      </c>
      <c r="Z8">
        <v>2</v>
      </c>
      <c r="AA8" s="7">
        <v>2</v>
      </c>
    </row>
    <row r="9" spans="1:27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0</v>
      </c>
      <c r="G9" s="7">
        <v>0</v>
      </c>
      <c r="H9" s="6">
        <v>0</v>
      </c>
      <c r="I9">
        <v>0</v>
      </c>
      <c r="J9">
        <v>0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0</v>
      </c>
      <c r="Q9" s="7">
        <v>0</v>
      </c>
      <c r="R9" s="6">
        <v>0</v>
      </c>
      <c r="S9">
        <v>0</v>
      </c>
      <c r="T9">
        <v>0</v>
      </c>
      <c r="U9">
        <v>1</v>
      </c>
      <c r="V9" s="7">
        <v>0</v>
      </c>
      <c r="W9" s="6">
        <v>0</v>
      </c>
      <c r="X9">
        <v>1</v>
      </c>
      <c r="Y9">
        <v>0</v>
      </c>
      <c r="Z9">
        <v>0</v>
      </c>
      <c r="AA9" s="7">
        <v>0</v>
      </c>
    </row>
    <row r="10" spans="1:27" ht="15.75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thickBot="1" x14ac:dyDescent="0.3">
      <c r="C11" s="14">
        <f>(C5*$B5)+(C6*$B6)+(C7*$B7)+(C8*$B8)+(C9*$B9)+(C10*$B10)</f>
        <v>6</v>
      </c>
      <c r="D11" s="14">
        <f t="shared" ref="D11:AA11" si="0">(D5*$B5)+(D6*$B6)+(D7*$B7)+(D8*$B8)+(D9*$B9)+(D10*$B10)</f>
        <v>24</v>
      </c>
      <c r="E11" s="14">
        <f t="shared" si="0"/>
        <v>15</v>
      </c>
      <c r="F11" s="14">
        <f t="shared" si="0"/>
        <v>8</v>
      </c>
      <c r="G11" s="14">
        <f t="shared" si="0"/>
        <v>2</v>
      </c>
      <c r="H11" s="14">
        <f t="shared" si="0"/>
        <v>20</v>
      </c>
      <c r="I11" s="14">
        <f t="shared" si="0"/>
        <v>2</v>
      </c>
      <c r="J11" s="14">
        <f t="shared" si="0"/>
        <v>11</v>
      </c>
      <c r="K11" s="14">
        <f t="shared" si="0"/>
        <v>8</v>
      </c>
      <c r="L11" s="14">
        <f t="shared" si="0"/>
        <v>7</v>
      </c>
      <c r="M11" s="14">
        <f t="shared" si="0"/>
        <v>-2</v>
      </c>
      <c r="N11" s="14">
        <f t="shared" si="0"/>
        <v>13</v>
      </c>
      <c r="O11" s="14">
        <f t="shared" si="0"/>
        <v>12</v>
      </c>
      <c r="P11" s="14">
        <f t="shared" si="0"/>
        <v>9</v>
      </c>
      <c r="Q11" s="15">
        <f t="shared" si="0"/>
        <v>18</v>
      </c>
      <c r="R11" s="14">
        <f t="shared" si="0"/>
        <v>16</v>
      </c>
      <c r="S11" s="14">
        <f t="shared" si="0"/>
        <v>9</v>
      </c>
      <c r="T11" s="14">
        <f t="shared" si="0"/>
        <v>16</v>
      </c>
      <c r="U11" s="14">
        <f t="shared" si="0"/>
        <v>8</v>
      </c>
      <c r="V11" s="15">
        <f t="shared" si="0"/>
        <v>21</v>
      </c>
      <c r="W11" s="14">
        <f t="shared" si="0"/>
        <v>18</v>
      </c>
      <c r="X11" s="14">
        <f t="shared" si="0"/>
        <v>9</v>
      </c>
      <c r="Y11" s="14">
        <f t="shared" si="0"/>
        <v>10</v>
      </c>
      <c r="Z11" s="14">
        <f t="shared" si="0"/>
        <v>8</v>
      </c>
      <c r="AA11" s="15">
        <f t="shared" si="0"/>
        <v>14</v>
      </c>
    </row>
    <row r="12" spans="1:27" x14ac:dyDescent="0.25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outlineLevel="1" x14ac:dyDescent="0.25">
      <c r="A14" s="6" t="s">
        <v>64</v>
      </c>
      <c r="B14">
        <v>7</v>
      </c>
      <c r="C14" s="6">
        <v>1</v>
      </c>
      <c r="D14">
        <v>0</v>
      </c>
      <c r="E14">
        <v>0</v>
      </c>
      <c r="F14">
        <v>1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0</v>
      </c>
      <c r="N14">
        <v>0</v>
      </c>
      <c r="O14">
        <v>0</v>
      </c>
      <c r="P14">
        <v>1</v>
      </c>
      <c r="Q14" s="7">
        <v>0</v>
      </c>
      <c r="R14" s="6">
        <v>0</v>
      </c>
      <c r="S14">
        <v>0</v>
      </c>
      <c r="T14">
        <v>0</v>
      </c>
      <c r="U14">
        <v>0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outlineLevel="1" x14ac:dyDescent="0.25">
      <c r="A15" s="6" t="s">
        <v>65</v>
      </c>
      <c r="B15">
        <v>3</v>
      </c>
      <c r="C15" s="6">
        <v>4</v>
      </c>
      <c r="D15">
        <v>3</v>
      </c>
      <c r="E15">
        <v>5</v>
      </c>
      <c r="F15">
        <v>5</v>
      </c>
      <c r="G15" s="7">
        <v>4</v>
      </c>
      <c r="H15" s="6">
        <v>7</v>
      </c>
      <c r="I15">
        <v>6</v>
      </c>
      <c r="J15">
        <v>4</v>
      </c>
      <c r="K15">
        <v>6</v>
      </c>
      <c r="L15" s="7">
        <v>6</v>
      </c>
      <c r="M15" s="6">
        <v>6</v>
      </c>
      <c r="N15">
        <v>4</v>
      </c>
      <c r="O15">
        <v>4</v>
      </c>
      <c r="P15">
        <v>2</v>
      </c>
      <c r="Q15" s="7">
        <v>5</v>
      </c>
      <c r="R15" s="6">
        <v>6</v>
      </c>
      <c r="S15">
        <v>5</v>
      </c>
      <c r="T15">
        <v>4</v>
      </c>
      <c r="U15">
        <v>6</v>
      </c>
      <c r="V15" s="7">
        <v>3</v>
      </c>
      <c r="W15" s="6">
        <v>2</v>
      </c>
      <c r="X15">
        <v>6</v>
      </c>
      <c r="Y15">
        <v>6</v>
      </c>
      <c r="Z15">
        <v>5</v>
      </c>
      <c r="AA15" s="7">
        <v>4</v>
      </c>
    </row>
    <row r="16" spans="1:27" outlineLevel="1" x14ac:dyDescent="0.25">
      <c r="A16" s="6" t="s">
        <v>66</v>
      </c>
      <c r="B16">
        <v>-2</v>
      </c>
      <c r="C16" s="6">
        <v>2</v>
      </c>
      <c r="D16">
        <v>0</v>
      </c>
      <c r="E16">
        <v>1</v>
      </c>
      <c r="F16">
        <v>1</v>
      </c>
      <c r="G16" s="7">
        <v>2</v>
      </c>
      <c r="H16" s="6">
        <v>1</v>
      </c>
      <c r="I16">
        <v>1</v>
      </c>
      <c r="J16">
        <v>1</v>
      </c>
      <c r="K16">
        <v>0</v>
      </c>
      <c r="L16" s="7">
        <v>3</v>
      </c>
      <c r="M16" s="6">
        <v>0</v>
      </c>
      <c r="N16">
        <v>4</v>
      </c>
      <c r="O16">
        <v>0</v>
      </c>
      <c r="P16">
        <v>3</v>
      </c>
      <c r="Q16" s="7">
        <v>4</v>
      </c>
      <c r="R16" s="6">
        <v>0</v>
      </c>
      <c r="S16">
        <v>1</v>
      </c>
      <c r="T16">
        <v>2</v>
      </c>
      <c r="U16">
        <v>2</v>
      </c>
      <c r="V16" s="7">
        <v>1</v>
      </c>
      <c r="W16" s="6">
        <v>0</v>
      </c>
      <c r="X16">
        <v>1</v>
      </c>
      <c r="Y16">
        <v>2</v>
      </c>
      <c r="Z16">
        <v>1</v>
      </c>
      <c r="AA16" s="7">
        <v>0</v>
      </c>
    </row>
    <row r="17" spans="1:27" outlineLevel="1" x14ac:dyDescent="0.25">
      <c r="A17" s="6" t="s">
        <v>67</v>
      </c>
      <c r="B17">
        <v>-4</v>
      </c>
      <c r="C17" s="6">
        <v>0</v>
      </c>
      <c r="D17">
        <v>0</v>
      </c>
      <c r="E17">
        <v>0</v>
      </c>
      <c r="F17">
        <v>0</v>
      </c>
      <c r="G17" s="7">
        <v>1</v>
      </c>
      <c r="H17" s="6">
        <v>1</v>
      </c>
      <c r="I17">
        <v>0</v>
      </c>
      <c r="J17">
        <v>0</v>
      </c>
      <c r="K17">
        <v>0</v>
      </c>
      <c r="L17" s="7">
        <v>0</v>
      </c>
      <c r="M17" s="6">
        <v>0</v>
      </c>
      <c r="N17">
        <v>0</v>
      </c>
      <c r="O17">
        <v>0</v>
      </c>
      <c r="P17">
        <v>0</v>
      </c>
      <c r="Q17" s="7">
        <v>0</v>
      </c>
      <c r="R17" s="6">
        <v>0</v>
      </c>
      <c r="S17">
        <v>0</v>
      </c>
      <c r="T17">
        <v>0</v>
      </c>
      <c r="U17">
        <v>1</v>
      </c>
      <c r="V17" s="7">
        <v>0</v>
      </c>
      <c r="W17" s="6">
        <v>0</v>
      </c>
      <c r="X17">
        <v>0</v>
      </c>
      <c r="Y17">
        <v>0</v>
      </c>
      <c r="Z17">
        <v>0</v>
      </c>
      <c r="AA17" s="7">
        <v>0</v>
      </c>
    </row>
    <row r="18" spans="1:27" ht="15.75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thickBot="1" x14ac:dyDescent="0.3">
      <c r="C19" s="14">
        <f>(C13*$B13)+(C14*$B14)+(C15*$B15)+(C16*$B16)+(C17*$B17)+(C18*$B18)</f>
        <v>15</v>
      </c>
      <c r="D19" s="14">
        <f t="shared" ref="D19:AA19" si="1">(D13*$B13)+(D14*$B14)+(D15*$B15)+(D16*$B16)+(D17*$B17)+(D18*$B18)</f>
        <v>9</v>
      </c>
      <c r="E19" s="14">
        <f t="shared" si="1"/>
        <v>13</v>
      </c>
      <c r="F19" s="14">
        <f t="shared" si="1"/>
        <v>20</v>
      </c>
      <c r="G19" s="14">
        <f t="shared" si="1"/>
        <v>4</v>
      </c>
      <c r="H19" s="14">
        <f t="shared" si="1"/>
        <v>15</v>
      </c>
      <c r="I19" s="14">
        <f t="shared" si="1"/>
        <v>16</v>
      </c>
      <c r="J19" s="14">
        <f t="shared" si="1"/>
        <v>10</v>
      </c>
      <c r="K19" s="14">
        <f t="shared" si="1"/>
        <v>18</v>
      </c>
      <c r="L19" s="14">
        <f t="shared" si="1"/>
        <v>12</v>
      </c>
      <c r="M19" s="14">
        <f t="shared" si="1"/>
        <v>18</v>
      </c>
      <c r="N19" s="14">
        <f t="shared" si="1"/>
        <v>4</v>
      </c>
      <c r="O19" s="14">
        <f t="shared" si="1"/>
        <v>12</v>
      </c>
      <c r="P19" s="14">
        <f t="shared" si="1"/>
        <v>7</v>
      </c>
      <c r="Q19" s="15">
        <f t="shared" si="1"/>
        <v>7</v>
      </c>
      <c r="R19" s="14">
        <f t="shared" si="1"/>
        <v>18</v>
      </c>
      <c r="S19" s="14">
        <f t="shared" si="1"/>
        <v>13</v>
      </c>
      <c r="T19" s="14">
        <f t="shared" si="1"/>
        <v>8</v>
      </c>
      <c r="U19" s="14">
        <f t="shared" si="1"/>
        <v>10</v>
      </c>
      <c r="V19" s="15">
        <f t="shared" si="1"/>
        <v>7</v>
      </c>
      <c r="W19" s="14">
        <f t="shared" si="1"/>
        <v>6</v>
      </c>
      <c r="X19" s="14">
        <f t="shared" si="1"/>
        <v>16</v>
      </c>
      <c r="Y19" s="14">
        <f t="shared" si="1"/>
        <v>14</v>
      </c>
      <c r="Z19" s="14">
        <f t="shared" si="1"/>
        <v>13</v>
      </c>
      <c r="AA19" s="15">
        <f t="shared" si="1"/>
        <v>12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/>
      <c r="H21" s="6">
        <v>0</v>
      </c>
      <c r="I21">
        <v>0</v>
      </c>
      <c r="J21">
        <v>0</v>
      </c>
      <c r="K21">
        <v>0</v>
      </c>
      <c r="L21" s="7">
        <v>0</v>
      </c>
      <c r="M21" s="6">
        <v>0</v>
      </c>
      <c r="N21">
        <v>0</v>
      </c>
      <c r="O21">
        <v>0</v>
      </c>
      <c r="P21">
        <v>0</v>
      </c>
      <c r="Q21" s="7">
        <v>0</v>
      </c>
      <c r="R21" s="6">
        <v>0</v>
      </c>
      <c r="S21">
        <v>0</v>
      </c>
      <c r="T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Z21">
        <v>0</v>
      </c>
      <c r="AA21" s="7">
        <v>0</v>
      </c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/>
      <c r="H22" s="6">
        <v>1</v>
      </c>
      <c r="I22">
        <v>0</v>
      </c>
      <c r="J22">
        <v>0</v>
      </c>
      <c r="K22">
        <v>0</v>
      </c>
      <c r="L22" s="7">
        <v>1</v>
      </c>
      <c r="M22" s="6">
        <v>0</v>
      </c>
      <c r="N22">
        <v>0</v>
      </c>
      <c r="O22">
        <v>0</v>
      </c>
      <c r="P22">
        <v>0</v>
      </c>
      <c r="Q22" s="7">
        <v>0</v>
      </c>
      <c r="R22" s="6">
        <v>1</v>
      </c>
      <c r="S22">
        <v>0</v>
      </c>
      <c r="T22">
        <v>0</v>
      </c>
      <c r="U22">
        <v>0</v>
      </c>
      <c r="V22" s="7">
        <v>1</v>
      </c>
      <c r="W22" s="6">
        <v>0</v>
      </c>
      <c r="X22">
        <v>0</v>
      </c>
      <c r="Y22">
        <v>1</v>
      </c>
      <c r="Z22">
        <v>1</v>
      </c>
      <c r="AA22" s="7">
        <v>1</v>
      </c>
    </row>
    <row r="23" spans="1:27" outlineLevel="1" x14ac:dyDescent="0.25">
      <c r="A23" s="6" t="s">
        <v>65</v>
      </c>
      <c r="B23">
        <v>3</v>
      </c>
      <c r="C23" s="6">
        <v>3</v>
      </c>
      <c r="D23">
        <v>5</v>
      </c>
      <c r="E23">
        <v>4</v>
      </c>
      <c r="F23">
        <v>4</v>
      </c>
      <c r="G23" s="7"/>
      <c r="H23" s="6">
        <v>8</v>
      </c>
      <c r="I23">
        <v>5</v>
      </c>
      <c r="J23">
        <v>6</v>
      </c>
      <c r="K23">
        <v>4</v>
      </c>
      <c r="L23" s="7">
        <v>6</v>
      </c>
      <c r="M23" s="6">
        <v>5</v>
      </c>
      <c r="N23">
        <v>4</v>
      </c>
      <c r="O23">
        <v>6</v>
      </c>
      <c r="P23">
        <v>7</v>
      </c>
      <c r="Q23" s="7">
        <v>5</v>
      </c>
      <c r="R23" s="6">
        <v>7</v>
      </c>
      <c r="S23">
        <v>3</v>
      </c>
      <c r="T23">
        <v>6</v>
      </c>
      <c r="U23">
        <v>6</v>
      </c>
      <c r="V23" s="7">
        <v>2</v>
      </c>
      <c r="W23" s="6">
        <v>4</v>
      </c>
      <c r="X23">
        <v>2</v>
      </c>
      <c r="Y23">
        <v>4</v>
      </c>
      <c r="Z23">
        <v>4</v>
      </c>
      <c r="AA23" s="7">
        <v>8</v>
      </c>
    </row>
    <row r="24" spans="1:27" outlineLevel="1" x14ac:dyDescent="0.25">
      <c r="A24" s="6" t="s">
        <v>66</v>
      </c>
      <c r="B24">
        <v>-2</v>
      </c>
      <c r="C24" s="6">
        <v>1</v>
      </c>
      <c r="D24">
        <v>1</v>
      </c>
      <c r="E24">
        <v>1</v>
      </c>
      <c r="F24">
        <v>1</v>
      </c>
      <c r="G24" s="7"/>
      <c r="H24" s="6">
        <v>1</v>
      </c>
      <c r="I24">
        <v>1</v>
      </c>
      <c r="J24">
        <v>2</v>
      </c>
      <c r="K24">
        <v>1</v>
      </c>
      <c r="L24" s="7">
        <v>0</v>
      </c>
      <c r="M24" s="6">
        <v>0</v>
      </c>
      <c r="N24">
        <v>1</v>
      </c>
      <c r="O24">
        <v>4</v>
      </c>
      <c r="P24">
        <v>0</v>
      </c>
      <c r="Q24" s="7">
        <v>1</v>
      </c>
      <c r="R24" s="6">
        <v>0</v>
      </c>
      <c r="S24">
        <v>5</v>
      </c>
      <c r="T24">
        <v>0</v>
      </c>
      <c r="U24">
        <v>0</v>
      </c>
      <c r="V24" s="7">
        <v>0</v>
      </c>
      <c r="W24" s="6">
        <v>2</v>
      </c>
      <c r="X24">
        <v>4</v>
      </c>
      <c r="Y24">
        <v>2</v>
      </c>
      <c r="Z24">
        <v>1</v>
      </c>
      <c r="AA24" s="7">
        <v>0</v>
      </c>
    </row>
    <row r="25" spans="1:27" outlineLevel="1" x14ac:dyDescent="0.25">
      <c r="A25" s="6" t="s">
        <v>67</v>
      </c>
      <c r="B25">
        <v>-4</v>
      </c>
      <c r="C25" s="6">
        <v>0</v>
      </c>
      <c r="D25">
        <v>0</v>
      </c>
      <c r="E25">
        <v>1</v>
      </c>
      <c r="F25">
        <v>0</v>
      </c>
      <c r="G25" s="7"/>
      <c r="H25" s="6">
        <v>0</v>
      </c>
      <c r="I25">
        <v>0</v>
      </c>
      <c r="J25">
        <v>0</v>
      </c>
      <c r="K25">
        <v>0</v>
      </c>
      <c r="L25" s="7">
        <v>0</v>
      </c>
      <c r="M25" s="6">
        <v>0</v>
      </c>
      <c r="N25">
        <v>0</v>
      </c>
      <c r="O25">
        <v>0</v>
      </c>
      <c r="P25">
        <v>0</v>
      </c>
      <c r="Q25" s="7">
        <v>0</v>
      </c>
      <c r="R25" s="6">
        <v>0</v>
      </c>
      <c r="S25">
        <v>0</v>
      </c>
      <c r="T25">
        <v>0</v>
      </c>
      <c r="U25">
        <v>0</v>
      </c>
      <c r="V25" s="7">
        <v>0</v>
      </c>
      <c r="W25" s="6">
        <v>0</v>
      </c>
      <c r="X25">
        <v>0</v>
      </c>
      <c r="Y25">
        <v>1</v>
      </c>
      <c r="Z25">
        <v>0</v>
      </c>
      <c r="AA25" s="7">
        <v>0</v>
      </c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/>
      <c r="H26" s="11">
        <v>0</v>
      </c>
      <c r="I26" s="12">
        <v>0</v>
      </c>
      <c r="J26" s="12">
        <v>0</v>
      </c>
      <c r="K26" s="12">
        <v>0</v>
      </c>
      <c r="L26" s="13">
        <v>0</v>
      </c>
      <c r="M26" s="11">
        <v>0</v>
      </c>
      <c r="N26" s="12">
        <v>0</v>
      </c>
      <c r="O26" s="12">
        <v>0</v>
      </c>
      <c r="P26" s="12">
        <v>0</v>
      </c>
      <c r="Q26" s="13">
        <v>0</v>
      </c>
      <c r="R26" s="11">
        <v>0</v>
      </c>
      <c r="S26" s="12">
        <v>0</v>
      </c>
      <c r="T26" s="12">
        <v>0</v>
      </c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>
        <v>0</v>
      </c>
      <c r="AA26" s="13">
        <v>0</v>
      </c>
    </row>
    <row r="27" spans="1:27" ht="15.75" thickBot="1" x14ac:dyDescent="0.3">
      <c r="C27" s="14">
        <f>(C21*$B21)+(C22*$B22)+(C23*$B23)+(C24*$B24)+(C25*$B25)+(C26*$B26)</f>
        <v>7</v>
      </c>
      <c r="D27" s="14">
        <f t="shared" ref="D27:AA27" si="2">(D21*$B21)+(D22*$B22)+(D23*$B23)+(D24*$B24)+(D25*$B25)+(D26*$B26)</f>
        <v>13</v>
      </c>
      <c r="E27" s="14">
        <f t="shared" si="2"/>
        <v>6</v>
      </c>
      <c r="F27" s="14">
        <f t="shared" si="2"/>
        <v>10</v>
      </c>
      <c r="G27" s="14">
        <f t="shared" si="2"/>
        <v>0</v>
      </c>
      <c r="H27" s="14">
        <f t="shared" si="2"/>
        <v>29</v>
      </c>
      <c r="I27" s="14">
        <f t="shared" si="2"/>
        <v>13</v>
      </c>
      <c r="J27" s="14">
        <f t="shared" si="2"/>
        <v>14</v>
      </c>
      <c r="K27" s="14">
        <f t="shared" si="2"/>
        <v>10</v>
      </c>
      <c r="L27" s="14">
        <f t="shared" si="2"/>
        <v>25</v>
      </c>
      <c r="M27" s="14">
        <f t="shared" si="2"/>
        <v>15</v>
      </c>
      <c r="N27" s="14">
        <f t="shared" si="2"/>
        <v>10</v>
      </c>
      <c r="O27" s="14">
        <f t="shared" si="2"/>
        <v>10</v>
      </c>
      <c r="P27" s="14">
        <f t="shared" si="2"/>
        <v>21</v>
      </c>
      <c r="Q27" s="15">
        <f t="shared" si="2"/>
        <v>13</v>
      </c>
      <c r="R27" s="14">
        <f t="shared" si="2"/>
        <v>28</v>
      </c>
      <c r="S27" s="14">
        <f t="shared" si="2"/>
        <v>-1</v>
      </c>
      <c r="T27" s="14">
        <f t="shared" si="2"/>
        <v>18</v>
      </c>
      <c r="U27" s="14">
        <f t="shared" si="2"/>
        <v>18</v>
      </c>
      <c r="V27" s="15">
        <f t="shared" si="2"/>
        <v>13</v>
      </c>
      <c r="W27" s="14">
        <f t="shared" si="2"/>
        <v>8</v>
      </c>
      <c r="X27" s="14">
        <f t="shared" si="2"/>
        <v>-2</v>
      </c>
      <c r="Y27" s="14">
        <f t="shared" si="2"/>
        <v>11</v>
      </c>
      <c r="Z27" s="14">
        <f t="shared" si="2"/>
        <v>17</v>
      </c>
      <c r="AA27" s="15">
        <f t="shared" si="2"/>
        <v>31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/>
      <c r="H29" s="6">
        <v>0</v>
      </c>
      <c r="I29">
        <v>0</v>
      </c>
      <c r="J29">
        <v>0</v>
      </c>
      <c r="K29">
        <v>0</v>
      </c>
      <c r="L29" s="7">
        <v>0</v>
      </c>
      <c r="M29" s="6">
        <v>0</v>
      </c>
      <c r="N29">
        <v>0</v>
      </c>
      <c r="O29">
        <v>0</v>
      </c>
      <c r="P29">
        <v>0</v>
      </c>
      <c r="Q29" s="7">
        <v>0</v>
      </c>
      <c r="R29" s="6">
        <v>0</v>
      </c>
      <c r="S29">
        <v>0</v>
      </c>
      <c r="T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Z29">
        <v>0</v>
      </c>
      <c r="AA29" s="7">
        <v>0</v>
      </c>
    </row>
    <row r="30" spans="1:27" outlineLevel="1" x14ac:dyDescent="0.25">
      <c r="A30" s="6" t="s">
        <v>64</v>
      </c>
      <c r="B30">
        <v>7</v>
      </c>
      <c r="C30" s="6">
        <v>0</v>
      </c>
      <c r="D30">
        <v>0</v>
      </c>
      <c r="E30">
        <v>0</v>
      </c>
      <c r="F30">
        <v>0</v>
      </c>
      <c r="G30" s="7"/>
      <c r="H30" s="6">
        <v>0</v>
      </c>
      <c r="I30">
        <v>0</v>
      </c>
      <c r="J30">
        <v>1</v>
      </c>
      <c r="K30">
        <v>1</v>
      </c>
      <c r="L30" s="7">
        <v>0</v>
      </c>
      <c r="M30" s="6">
        <v>0</v>
      </c>
      <c r="N30">
        <v>0</v>
      </c>
      <c r="O30">
        <v>0</v>
      </c>
      <c r="P30">
        <v>0</v>
      </c>
      <c r="Q30" s="7">
        <v>0</v>
      </c>
      <c r="R30" s="6">
        <v>0</v>
      </c>
      <c r="S30">
        <v>0</v>
      </c>
      <c r="T30">
        <v>0</v>
      </c>
      <c r="U30">
        <v>0</v>
      </c>
      <c r="V30" s="7">
        <v>0</v>
      </c>
      <c r="W30" s="6">
        <v>0</v>
      </c>
      <c r="X30">
        <v>0</v>
      </c>
      <c r="Y30">
        <v>0</v>
      </c>
      <c r="Z30">
        <v>0</v>
      </c>
      <c r="AA30" s="7">
        <v>0</v>
      </c>
    </row>
    <row r="31" spans="1:27" outlineLevel="1" x14ac:dyDescent="0.25">
      <c r="A31" s="6" t="s">
        <v>65</v>
      </c>
      <c r="B31">
        <v>3</v>
      </c>
      <c r="C31" s="6">
        <v>5</v>
      </c>
      <c r="D31">
        <v>5</v>
      </c>
      <c r="E31">
        <v>1</v>
      </c>
      <c r="F31">
        <v>8</v>
      </c>
      <c r="G31" s="7"/>
      <c r="H31" s="6">
        <v>5</v>
      </c>
      <c r="I31">
        <v>4</v>
      </c>
      <c r="J31">
        <v>4</v>
      </c>
      <c r="K31">
        <v>4</v>
      </c>
      <c r="L31" s="7">
        <v>5</v>
      </c>
      <c r="M31" s="6">
        <v>8</v>
      </c>
      <c r="N31">
        <v>8</v>
      </c>
      <c r="O31">
        <v>5</v>
      </c>
      <c r="P31">
        <v>4</v>
      </c>
      <c r="Q31" s="7">
        <v>1</v>
      </c>
      <c r="R31" s="6">
        <v>10</v>
      </c>
      <c r="S31">
        <v>2</v>
      </c>
      <c r="T31">
        <v>4</v>
      </c>
      <c r="U31">
        <v>8</v>
      </c>
      <c r="V31" s="7">
        <v>6</v>
      </c>
      <c r="W31" s="6">
        <v>4</v>
      </c>
      <c r="X31">
        <v>6</v>
      </c>
      <c r="Y31">
        <v>5</v>
      </c>
      <c r="Z31">
        <v>5</v>
      </c>
      <c r="AA31" s="7">
        <v>7</v>
      </c>
    </row>
    <row r="32" spans="1:27" outlineLevel="1" x14ac:dyDescent="0.25">
      <c r="A32" s="6" t="s">
        <v>66</v>
      </c>
      <c r="B32">
        <v>-2</v>
      </c>
      <c r="C32" s="6">
        <v>1</v>
      </c>
      <c r="D32">
        <v>0</v>
      </c>
      <c r="E32">
        <v>1</v>
      </c>
      <c r="F32">
        <v>0</v>
      </c>
      <c r="G32" s="7"/>
      <c r="H32" s="6">
        <v>2</v>
      </c>
      <c r="I32">
        <v>2</v>
      </c>
      <c r="J32">
        <v>2</v>
      </c>
      <c r="K32">
        <v>1</v>
      </c>
      <c r="L32" s="7">
        <v>0</v>
      </c>
      <c r="M32" s="6">
        <v>0</v>
      </c>
      <c r="N32">
        <v>2</v>
      </c>
      <c r="O32">
        <v>1</v>
      </c>
      <c r="P32">
        <v>1</v>
      </c>
      <c r="Q32" s="7">
        <v>0</v>
      </c>
      <c r="R32" s="6">
        <v>1</v>
      </c>
      <c r="S32">
        <v>0</v>
      </c>
      <c r="T32">
        <v>0</v>
      </c>
      <c r="U32">
        <v>1</v>
      </c>
      <c r="V32" s="7">
        <v>1</v>
      </c>
      <c r="W32" s="6">
        <v>2</v>
      </c>
      <c r="X32">
        <v>2</v>
      </c>
      <c r="Y32">
        <v>0</v>
      </c>
      <c r="Z32">
        <v>0</v>
      </c>
      <c r="AA32" s="7">
        <v>0</v>
      </c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0</v>
      </c>
      <c r="F33">
        <v>0</v>
      </c>
      <c r="G33" s="7"/>
      <c r="H33" s="6">
        <v>0</v>
      </c>
      <c r="I33">
        <v>0</v>
      </c>
      <c r="J33">
        <v>0</v>
      </c>
      <c r="K33">
        <v>0</v>
      </c>
      <c r="L33" s="7">
        <v>0</v>
      </c>
      <c r="M33" s="6">
        <v>0</v>
      </c>
      <c r="N33">
        <v>1</v>
      </c>
      <c r="O33">
        <v>0</v>
      </c>
      <c r="P33">
        <v>0</v>
      </c>
      <c r="Q33" s="7">
        <v>1</v>
      </c>
      <c r="R33" s="6">
        <v>0</v>
      </c>
      <c r="S33">
        <v>0</v>
      </c>
      <c r="T33">
        <v>1</v>
      </c>
      <c r="U33">
        <v>0</v>
      </c>
      <c r="V33" s="7">
        <v>0</v>
      </c>
      <c r="W33" s="6">
        <v>0</v>
      </c>
      <c r="X33">
        <v>0</v>
      </c>
      <c r="Y33">
        <v>0</v>
      </c>
      <c r="Z33">
        <v>1</v>
      </c>
      <c r="AA33" s="7">
        <v>0</v>
      </c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/>
      <c r="H34" s="11">
        <v>0</v>
      </c>
      <c r="I34" s="12">
        <v>0</v>
      </c>
      <c r="J34" s="12">
        <v>0</v>
      </c>
      <c r="K34" s="12">
        <v>0</v>
      </c>
      <c r="L34" s="13">
        <v>0</v>
      </c>
      <c r="M34" s="11">
        <v>0</v>
      </c>
      <c r="N34" s="12">
        <v>0</v>
      </c>
      <c r="O34" s="12">
        <v>0</v>
      </c>
      <c r="P34" s="12">
        <v>0</v>
      </c>
      <c r="Q34" s="13">
        <v>0</v>
      </c>
      <c r="R34" s="11">
        <v>0</v>
      </c>
      <c r="S34" s="12">
        <v>0</v>
      </c>
      <c r="T34" s="12">
        <v>0</v>
      </c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>
        <v>0</v>
      </c>
      <c r="AA34" s="13">
        <v>0</v>
      </c>
    </row>
    <row r="35" spans="1:27" ht="15.75" thickBot="1" x14ac:dyDescent="0.3">
      <c r="C35" s="14">
        <f>(C29*$B29)+(C30*$B30)+(C31*$B31)+(C32*$B32)+(C33*$B33)+(C34*$B34)</f>
        <v>13</v>
      </c>
      <c r="D35" s="14">
        <f t="shared" ref="D35:AA35" si="3">(D29*$B29)+(D30*$B30)+(D31*$B31)+(D32*$B32)+(D33*$B33)+(D34*$B34)</f>
        <v>15</v>
      </c>
      <c r="E35" s="14">
        <f t="shared" si="3"/>
        <v>1</v>
      </c>
      <c r="F35" s="14">
        <f t="shared" si="3"/>
        <v>24</v>
      </c>
      <c r="G35" s="14">
        <f t="shared" si="3"/>
        <v>0</v>
      </c>
      <c r="H35" s="14">
        <f t="shared" si="3"/>
        <v>11</v>
      </c>
      <c r="I35" s="14">
        <f t="shared" si="3"/>
        <v>8</v>
      </c>
      <c r="J35" s="14">
        <f t="shared" si="3"/>
        <v>15</v>
      </c>
      <c r="K35" s="14">
        <f t="shared" si="3"/>
        <v>17</v>
      </c>
      <c r="L35" s="14">
        <f t="shared" si="3"/>
        <v>15</v>
      </c>
      <c r="M35" s="14">
        <f t="shared" si="3"/>
        <v>24</v>
      </c>
      <c r="N35" s="14">
        <f t="shared" si="3"/>
        <v>16</v>
      </c>
      <c r="O35" s="14">
        <f t="shared" si="3"/>
        <v>13</v>
      </c>
      <c r="P35" s="14">
        <f t="shared" si="3"/>
        <v>10</v>
      </c>
      <c r="Q35" s="15">
        <f t="shared" si="3"/>
        <v>-1</v>
      </c>
      <c r="R35" s="14">
        <f t="shared" si="3"/>
        <v>28</v>
      </c>
      <c r="S35" s="14">
        <f t="shared" si="3"/>
        <v>6</v>
      </c>
      <c r="T35" s="14">
        <f t="shared" si="3"/>
        <v>8</v>
      </c>
      <c r="U35" s="14">
        <f t="shared" si="3"/>
        <v>22</v>
      </c>
      <c r="V35" s="15">
        <f t="shared" si="3"/>
        <v>16</v>
      </c>
      <c r="W35" s="14">
        <f t="shared" si="3"/>
        <v>8</v>
      </c>
      <c r="X35" s="14">
        <f t="shared" si="3"/>
        <v>14</v>
      </c>
      <c r="Y35" s="14">
        <f t="shared" si="3"/>
        <v>15</v>
      </c>
      <c r="Z35" s="14">
        <f t="shared" si="3"/>
        <v>11</v>
      </c>
      <c r="AA35" s="15">
        <f t="shared" si="3"/>
        <v>21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>
        <v>1</v>
      </c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AA38" s="7">
        <v>1</v>
      </c>
    </row>
    <row r="39" spans="1:27" outlineLevel="1" x14ac:dyDescent="0.25">
      <c r="A39" s="6" t="s">
        <v>75</v>
      </c>
      <c r="B39">
        <v>30</v>
      </c>
      <c r="C39" s="6"/>
      <c r="G39" s="7"/>
      <c r="H39" s="6">
        <v>1</v>
      </c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D41">
        <v>1</v>
      </c>
      <c r="F41">
        <v>1</v>
      </c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>
        <v>1</v>
      </c>
      <c r="M44" s="6"/>
      <c r="Q44" s="7"/>
      <c r="R44" s="6"/>
      <c r="V44" s="7">
        <v>1</v>
      </c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>
        <v>1</v>
      </c>
      <c r="Q47" s="7"/>
      <c r="R47" s="6"/>
      <c r="U47">
        <v>1</v>
      </c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K48">
        <v>1</v>
      </c>
      <c r="L48" s="7"/>
      <c r="M48" s="6"/>
      <c r="Q48" s="7"/>
      <c r="R48" s="6"/>
      <c r="V48" s="7"/>
      <c r="W48" s="6"/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T49">
        <v>1</v>
      </c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J50">
        <v>1</v>
      </c>
      <c r="L50" s="7"/>
      <c r="M50" s="6"/>
      <c r="O50">
        <v>1</v>
      </c>
      <c r="P50">
        <v>1</v>
      </c>
      <c r="Q50" s="7"/>
      <c r="R50" s="6"/>
      <c r="V50" s="7"/>
      <c r="W50" s="6"/>
      <c r="Y50">
        <v>1</v>
      </c>
      <c r="Z50">
        <v>1</v>
      </c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Q51" s="7"/>
      <c r="R51" s="6"/>
      <c r="V51" s="7"/>
      <c r="W51" s="6">
        <v>1</v>
      </c>
      <c r="AA51" s="7"/>
    </row>
    <row r="52" spans="1:27" ht="15.75" outlineLevel="1" thickBot="1" x14ac:dyDescent="0.3">
      <c r="A52" s="11" t="s">
        <v>88</v>
      </c>
      <c r="B52" s="12">
        <v>1</v>
      </c>
      <c r="C52" s="11">
        <v>1</v>
      </c>
      <c r="D52" s="12"/>
      <c r="E52" s="12"/>
      <c r="F52" s="12"/>
      <c r="G52" s="13"/>
      <c r="H52" s="11"/>
      <c r="I52" s="12">
        <v>1</v>
      </c>
      <c r="J52" s="12"/>
      <c r="K52" s="12"/>
      <c r="L52" s="13"/>
      <c r="M52" s="11"/>
      <c r="N52" s="12">
        <v>1</v>
      </c>
      <c r="O52" s="12"/>
      <c r="P52" s="12"/>
      <c r="Q52" s="13"/>
      <c r="R52" s="11"/>
      <c r="S52" s="12"/>
      <c r="T52" s="12"/>
      <c r="U52" s="12"/>
      <c r="V52" s="13"/>
      <c r="W52" s="11"/>
      <c r="X52" s="12"/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>
        <v>1</v>
      </c>
      <c r="H55" s="6"/>
      <c r="L55" s="7"/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/>
      <c r="D56">
        <v>2</v>
      </c>
      <c r="E56">
        <v>1</v>
      </c>
      <c r="F56">
        <v>1</v>
      </c>
      <c r="G56" s="7"/>
      <c r="H56" s="6"/>
      <c r="L56" s="7">
        <v>2</v>
      </c>
      <c r="M56">
        <v>3</v>
      </c>
      <c r="O56">
        <v>2</v>
      </c>
      <c r="P56">
        <v>2</v>
      </c>
      <c r="Q56" s="7">
        <v>1</v>
      </c>
      <c r="R56">
        <v>3</v>
      </c>
      <c r="S56">
        <v>1</v>
      </c>
      <c r="T56">
        <v>1</v>
      </c>
      <c r="U56">
        <v>1</v>
      </c>
      <c r="V56" s="7">
        <v>2</v>
      </c>
      <c r="W56">
        <v>2</v>
      </c>
      <c r="Y56">
        <v>1</v>
      </c>
      <c r="AA56" s="7">
        <v>3</v>
      </c>
    </row>
    <row r="57" spans="1:27" ht="15.75" outlineLevel="1" thickBot="1" x14ac:dyDescent="0.3">
      <c r="A57" s="11" t="s">
        <v>91</v>
      </c>
      <c r="B57" s="12">
        <v>7</v>
      </c>
      <c r="C57" s="11"/>
      <c r="D57" s="12">
        <v>1</v>
      </c>
      <c r="E57" s="12"/>
      <c r="F57" s="12">
        <v>1</v>
      </c>
      <c r="G57" s="13"/>
      <c r="H57" s="11">
        <v>1</v>
      </c>
      <c r="I57" s="12"/>
      <c r="J57" s="12">
        <v>1</v>
      </c>
      <c r="K57" s="12"/>
      <c r="L57" s="13"/>
      <c r="M57" s="12"/>
      <c r="N57" s="12"/>
      <c r="O57" s="12">
        <v>1</v>
      </c>
      <c r="P57" s="12"/>
      <c r="Q57" s="13"/>
      <c r="R57" s="12">
        <v>1</v>
      </c>
      <c r="S57" s="12"/>
      <c r="T57" s="12">
        <v>1</v>
      </c>
      <c r="U57" s="12"/>
      <c r="V57" s="13">
        <v>1</v>
      </c>
      <c r="W57" s="12">
        <v>1</v>
      </c>
      <c r="X57" s="12"/>
      <c r="Y57" s="12">
        <v>1</v>
      </c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42</v>
      </c>
      <c r="D59" s="16" cm="1">
        <f t="array" ref="D59">SUM(D11,D19,D27,D35,(D37:D52)*($B37:$B52),((D55*$B55)+(D56*$B56)+(D57*$B57)))</f>
        <v>98</v>
      </c>
      <c r="E59" s="16" cm="1">
        <f t="array" ref="E59">SUM(E11,E19,E27,E35,(E37:E52)*($B37:$B52),((E55*$B55)+(E56*$B56)+(E57*$B57)))</f>
        <v>40</v>
      </c>
      <c r="F59" s="16" cm="1">
        <f t="array" ref="F59">SUM(F11,F19,F27,F35,(F37:F52)*($B37:$B52),((F55*$B55)+(F56*$B56)+(F57*$B57)))</f>
        <v>94</v>
      </c>
      <c r="G59" s="16" cm="1">
        <f t="array" ref="G59">SUM(G11,G19,G27,G35,(G37:G52)*($B37:$B52),((G55*$B55)+(G56*$B56)+(G57*$B57)))</f>
        <v>-1</v>
      </c>
      <c r="H59" s="16" cm="1">
        <f t="array" ref="H59">SUM(H11,H19,H27,H35,(H37:H52)*($B37:$B52),((H55*$B55)+(H56*$B56)+(H57*$B57)))</f>
        <v>112</v>
      </c>
      <c r="I59" s="16" cm="1">
        <f t="array" ref="I59">SUM(I11,I19,I27,I35,(I37:I52)*($B37:$B52),((I55*$B55)+(I56*$B56)+(I57*$B57)))</f>
        <v>40</v>
      </c>
      <c r="J59" s="16" cm="1">
        <f t="array" ref="J59">SUM(J11,J19,J27,J35,(J37:J52)*($B37:$B52),((J55*$B55)+(J56*$B56)+(J57*$B57)))</f>
        <v>60</v>
      </c>
      <c r="K59" s="16" cm="1">
        <f t="array" ref="K59">SUM(K11,K19,K27,K35,(K37:K52)*($B37:$B52),((K55*$B55)+(K56*$B56)+(K57*$B57)))</f>
        <v>58</v>
      </c>
      <c r="L59" s="16" cm="1">
        <f t="array" ref="L59">SUM(L11,L19,L27,L35,(L37:L52)*($B37:$B52),((L55*$B55)+(L56*$B56)+(L57*$B57)))</f>
        <v>82</v>
      </c>
      <c r="M59" s="16" cm="1">
        <f t="array" ref="M59">SUM(M11,M19,M27,M35,(M37:M52)*($B37:$B52),((M55*$B55)+(M56*$B56)+(M57*$B57)))</f>
        <v>80</v>
      </c>
      <c r="N59" s="16" cm="1">
        <f t="array" ref="N59">SUM(N11,N19,N27,N35,(N37:N52)*($B37:$B52),((N55*$B55)+(N56*$B56)+(N57*$B57)))</f>
        <v>44</v>
      </c>
      <c r="O59" s="16" cm="1">
        <f t="array" ref="O59">SUM(O11,O19,O27,O35,(O37:O52)*($B37:$B52),((O55*$B55)+(O56*$B56)+(O57*$B57)))</f>
        <v>67</v>
      </c>
      <c r="P59" s="16" cm="1">
        <f t="array" ref="P59">SUM(P11,P19,P27,P35,(P37:P52)*($B37:$B52),((P55*$B55)+(P56*$B56)+(P57*$B57)))</f>
        <v>60</v>
      </c>
      <c r="Q59" s="16" cm="1">
        <f t="array" ref="Q59">SUM(Q11,Q19,Q27,Q35,(Q37:Q52)*($B37:$B52),((Q55*$B55)+(Q56*$B56)+(Q57*$B57)))</f>
        <v>42</v>
      </c>
      <c r="R59" s="16" cm="1">
        <f t="array" ref="R59">SUM(R11,R19,R27,R35,(R37:R52)*($B37:$B52),((R55*$B55)+(R56*$B56)+(R57*$B57)))</f>
        <v>162</v>
      </c>
      <c r="S59" s="16" cm="1">
        <f t="array" ref="S59">SUM(S11,S19,S27,S35,(S37:S52)*($B37:$B52),((S55*$B55)+(S56*$B56)+(S57*$B57)))</f>
        <v>32</v>
      </c>
      <c r="T59" s="16" cm="1">
        <f t="array" ref="T59">SUM(T11,T19,T27,T35,(T37:T52)*($B37:$B52),((T55*$B55)+(T56*$B56)+(T57*$B57)))</f>
        <v>66</v>
      </c>
      <c r="U59" s="16" cm="1">
        <f t="array" ref="U59">SUM(U11,U19,U27,U35,(U37:U52)*($B37:$B52),((U55*$B55)+(U56*$B56)+(U57*$B57)))</f>
        <v>73</v>
      </c>
      <c r="V59" s="16" cm="1">
        <f t="array" ref="V59">SUM(V11,V19,V27,V35,(V37:V52)*($B37:$B52),((V55*$B55)+(V56*$B56)+(V57*$B57)))</f>
        <v>87</v>
      </c>
      <c r="W59" s="16" cm="1">
        <f t="array" ref="W59">SUM(W11,W19,W27,W35,(W37:W52)*($B37:$B52),((W55*$B55)+(W56*$B56)+(W57*$B57)))</f>
        <v>59</v>
      </c>
      <c r="X59" s="16" cm="1">
        <f t="array" ref="X59">SUM(X11,X19,X27,X35,(X37:X52)*($B37:$B52),((X55*$B55)+(X56*$B56)+(X57*$B57)))</f>
        <v>37</v>
      </c>
      <c r="Y59" s="16" cm="1">
        <f t="array" ref="Y59">SUM(Y11,Y19,Y27,Y35,(Y37:Y52)*($B37:$B52),((Y55*$B55)+(Y56*$B56)+(Y57*$B57)))</f>
        <v>65</v>
      </c>
      <c r="Z59" s="16" cm="1">
        <f t="array" ref="Z59">SUM(Z11,Z19,Z27,Z35,(Z37:Z52)*($B37:$B52),((Z55*$B55)+(Z56*$B56)+(Z57*$B57)))</f>
        <v>52</v>
      </c>
      <c r="AA59" s="16" cm="1">
        <f t="array" ref="AA59">SUM(AA11,AA19,AA27,AA35,(AA37:AA52)*($B37:$B52),((AA55*$B55)+(AA56*$B56)+(AA57*$B57)))</f>
        <v>128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273</v>
      </c>
      <c r="D61" s="18"/>
      <c r="E61" s="18"/>
      <c r="F61" s="18"/>
      <c r="G61" s="19"/>
      <c r="H61" s="17">
        <f>SUM(H59:L59)</f>
        <v>352</v>
      </c>
      <c r="I61" s="18"/>
      <c r="J61" s="18"/>
      <c r="K61" s="18"/>
      <c r="L61" s="19"/>
      <c r="M61" s="17">
        <f>SUM(M59:Q59)</f>
        <v>293</v>
      </c>
      <c r="N61" s="18"/>
      <c r="O61" s="18"/>
      <c r="P61" s="18"/>
      <c r="Q61" s="19"/>
      <c r="R61" s="17">
        <f>SUM(R59:V59)</f>
        <v>420</v>
      </c>
      <c r="S61" s="18"/>
      <c r="T61" s="18"/>
      <c r="U61" s="18"/>
      <c r="V61" s="19"/>
      <c r="W61" s="17">
        <f>SUM(W59:AA59)</f>
        <v>341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B2757-084E-4F61-9B7D-9AA10E070FB8}">
  <sheetPr codeName="Sheet11">
    <tabColor theme="0"/>
  </sheetPr>
  <dimension ref="A1:AA61"/>
  <sheetViews>
    <sheetView zoomScale="70" zoomScaleNormal="70" workbookViewId="0">
      <selection activeCell="P57" sqref="P57"/>
    </sheetView>
  </sheetViews>
  <sheetFormatPr defaultRowHeight="15" outlineLevelRow="1" x14ac:dyDescent="0.25"/>
  <sheetData>
    <row r="1" spans="1:27" ht="15.75" thickBot="1" x14ac:dyDescent="0.3">
      <c r="A1" t="s">
        <v>178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107</v>
      </c>
      <c r="D2" s="4" t="s">
        <v>173</v>
      </c>
      <c r="E2" s="4" t="s">
        <v>131</v>
      </c>
      <c r="F2" s="4" t="s">
        <v>149</v>
      </c>
      <c r="G2" s="5" t="s">
        <v>189</v>
      </c>
      <c r="H2" s="3" t="s">
        <v>170</v>
      </c>
      <c r="I2" s="4" t="s">
        <v>54</v>
      </c>
      <c r="J2" s="4" t="s">
        <v>180</v>
      </c>
      <c r="K2" s="4" t="s">
        <v>177</v>
      </c>
      <c r="L2" t="s">
        <v>187</v>
      </c>
      <c r="M2" t="s">
        <v>155</v>
      </c>
      <c r="N2" s="42" t="s">
        <v>163</v>
      </c>
      <c r="O2" s="4" t="s">
        <v>114</v>
      </c>
      <c r="P2" s="42" t="s">
        <v>183</v>
      </c>
      <c r="Q2" s="5" t="s">
        <v>184</v>
      </c>
      <c r="R2" s="3" t="s">
        <v>96</v>
      </c>
      <c r="S2" s="4" t="s">
        <v>129</v>
      </c>
      <c r="T2" s="42" t="s">
        <v>179</v>
      </c>
      <c r="U2" s="4" t="s">
        <v>185</v>
      </c>
      <c r="V2" s="5" t="s">
        <v>186</v>
      </c>
      <c r="W2" s="3" t="s">
        <v>110</v>
      </c>
      <c r="X2" s="4" t="s">
        <v>56</v>
      </c>
      <c r="Y2" s="4" t="s">
        <v>181</v>
      </c>
      <c r="Z2" s="4" t="s">
        <v>182</v>
      </c>
      <c r="AA2" s="43" t="s">
        <v>188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x14ac:dyDescent="0.25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outlineLevel="1" x14ac:dyDescent="0.25">
      <c r="A6" s="6" t="s">
        <v>64</v>
      </c>
      <c r="B6">
        <v>7</v>
      </c>
      <c r="C6" s="6">
        <v>0</v>
      </c>
      <c r="D6">
        <v>0</v>
      </c>
      <c r="E6">
        <v>1</v>
      </c>
      <c r="F6">
        <v>1</v>
      </c>
      <c r="G6" s="7">
        <v>0</v>
      </c>
      <c r="H6" s="6">
        <v>0</v>
      </c>
      <c r="I6">
        <v>0</v>
      </c>
      <c r="J6">
        <v>0</v>
      </c>
      <c r="K6">
        <v>1</v>
      </c>
      <c r="L6" s="7">
        <v>0</v>
      </c>
      <c r="M6" s="6">
        <v>1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1</v>
      </c>
      <c r="Z6">
        <v>0</v>
      </c>
      <c r="AA6" s="7">
        <v>0</v>
      </c>
    </row>
    <row r="7" spans="1:27" outlineLevel="1" x14ac:dyDescent="0.25">
      <c r="A7" s="6" t="s">
        <v>65</v>
      </c>
      <c r="B7">
        <v>3</v>
      </c>
      <c r="C7" s="6">
        <v>7</v>
      </c>
      <c r="D7">
        <v>6</v>
      </c>
      <c r="E7">
        <v>7</v>
      </c>
      <c r="F7">
        <v>4</v>
      </c>
      <c r="G7" s="7">
        <v>7</v>
      </c>
      <c r="H7" s="6">
        <v>5</v>
      </c>
      <c r="I7">
        <v>4</v>
      </c>
      <c r="J7">
        <v>4</v>
      </c>
      <c r="K7">
        <v>2</v>
      </c>
      <c r="L7" s="7">
        <v>6</v>
      </c>
      <c r="M7" s="6">
        <v>7</v>
      </c>
      <c r="N7">
        <v>3</v>
      </c>
      <c r="O7">
        <v>6</v>
      </c>
      <c r="P7">
        <v>5</v>
      </c>
      <c r="Q7" s="7">
        <v>8</v>
      </c>
      <c r="R7" s="6">
        <v>11</v>
      </c>
      <c r="S7">
        <v>5</v>
      </c>
      <c r="T7">
        <v>5</v>
      </c>
      <c r="U7">
        <v>5</v>
      </c>
      <c r="V7" s="7">
        <v>6</v>
      </c>
      <c r="W7" s="6">
        <v>8</v>
      </c>
      <c r="X7">
        <v>4</v>
      </c>
      <c r="Y7">
        <v>6</v>
      </c>
      <c r="Z7">
        <v>7</v>
      </c>
      <c r="AA7" s="7">
        <v>6</v>
      </c>
    </row>
    <row r="8" spans="1:27" outlineLevel="1" x14ac:dyDescent="0.25">
      <c r="A8" s="6" t="s">
        <v>66</v>
      </c>
      <c r="B8">
        <v>-2</v>
      </c>
      <c r="C8" s="6">
        <v>1</v>
      </c>
      <c r="D8">
        <v>0</v>
      </c>
      <c r="E8">
        <v>0</v>
      </c>
      <c r="F8">
        <v>4</v>
      </c>
      <c r="G8" s="7">
        <v>0</v>
      </c>
      <c r="H8" s="6">
        <v>4</v>
      </c>
      <c r="I8">
        <v>1</v>
      </c>
      <c r="J8">
        <v>4</v>
      </c>
      <c r="K8">
        <v>1</v>
      </c>
      <c r="L8" s="7">
        <v>0</v>
      </c>
      <c r="M8" s="6">
        <v>3</v>
      </c>
      <c r="N8">
        <v>4</v>
      </c>
      <c r="O8">
        <v>1</v>
      </c>
      <c r="P8">
        <v>2</v>
      </c>
      <c r="Q8" s="7">
        <v>0</v>
      </c>
      <c r="R8" s="6">
        <v>1</v>
      </c>
      <c r="S8">
        <v>2</v>
      </c>
      <c r="T8">
        <v>2</v>
      </c>
      <c r="U8">
        <v>0</v>
      </c>
      <c r="V8" s="7">
        <v>2</v>
      </c>
      <c r="W8" s="6">
        <v>2</v>
      </c>
      <c r="X8">
        <v>1</v>
      </c>
      <c r="Y8">
        <v>0</v>
      </c>
      <c r="Z8">
        <v>3</v>
      </c>
      <c r="AA8" s="7">
        <v>1</v>
      </c>
    </row>
    <row r="9" spans="1:27" outlineLevel="1" x14ac:dyDescent="0.25">
      <c r="A9" s="6" t="s">
        <v>67</v>
      </c>
      <c r="B9">
        <v>-4</v>
      </c>
      <c r="C9" s="6">
        <v>0</v>
      </c>
      <c r="D9">
        <v>0</v>
      </c>
      <c r="E9">
        <v>1</v>
      </c>
      <c r="F9">
        <v>0</v>
      </c>
      <c r="G9" s="7">
        <v>0</v>
      </c>
      <c r="H9" s="6">
        <v>0</v>
      </c>
      <c r="I9">
        <v>0</v>
      </c>
      <c r="J9">
        <v>0</v>
      </c>
      <c r="K9">
        <v>1</v>
      </c>
      <c r="L9" s="7">
        <v>0</v>
      </c>
      <c r="M9" s="6">
        <v>0</v>
      </c>
      <c r="N9">
        <v>0</v>
      </c>
      <c r="O9">
        <v>0</v>
      </c>
      <c r="P9">
        <v>1</v>
      </c>
      <c r="Q9" s="7">
        <v>0</v>
      </c>
      <c r="R9" s="6">
        <v>0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1</v>
      </c>
    </row>
    <row r="10" spans="1:27" ht="15.75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thickBot="1" x14ac:dyDescent="0.3">
      <c r="C11" s="14">
        <f>(C5*$B5)+(C6*$B6)+(C7*$B7)+(C8*$B8)+(C9*$B9)+(C10*$B10)</f>
        <v>19</v>
      </c>
      <c r="D11" s="14">
        <f t="shared" ref="D11:AA11" si="0">(D5*$B5)+(D6*$B6)+(D7*$B7)+(D8*$B8)+(D9*$B9)+(D10*$B10)</f>
        <v>18</v>
      </c>
      <c r="E11" s="14">
        <f t="shared" si="0"/>
        <v>24</v>
      </c>
      <c r="F11" s="14">
        <f t="shared" si="0"/>
        <v>11</v>
      </c>
      <c r="G11" s="14">
        <f t="shared" si="0"/>
        <v>21</v>
      </c>
      <c r="H11" s="14">
        <f t="shared" si="0"/>
        <v>7</v>
      </c>
      <c r="I11" s="14">
        <f t="shared" si="0"/>
        <v>10</v>
      </c>
      <c r="J11" s="14">
        <f t="shared" si="0"/>
        <v>4</v>
      </c>
      <c r="K11" s="14">
        <f t="shared" si="0"/>
        <v>7</v>
      </c>
      <c r="L11" s="14">
        <f t="shared" si="0"/>
        <v>18</v>
      </c>
      <c r="M11" s="14">
        <f t="shared" si="0"/>
        <v>22</v>
      </c>
      <c r="N11" s="14">
        <f t="shared" si="0"/>
        <v>1</v>
      </c>
      <c r="O11" s="14">
        <f t="shared" si="0"/>
        <v>16</v>
      </c>
      <c r="P11" s="14">
        <f t="shared" si="0"/>
        <v>7</v>
      </c>
      <c r="Q11" s="15">
        <f t="shared" si="0"/>
        <v>24</v>
      </c>
      <c r="R11" s="14">
        <f t="shared" si="0"/>
        <v>31</v>
      </c>
      <c r="S11" s="14">
        <f t="shared" si="0"/>
        <v>11</v>
      </c>
      <c r="T11" s="14">
        <f t="shared" si="0"/>
        <v>11</v>
      </c>
      <c r="U11" s="14">
        <f t="shared" si="0"/>
        <v>15</v>
      </c>
      <c r="V11" s="15">
        <f t="shared" si="0"/>
        <v>14</v>
      </c>
      <c r="W11" s="14">
        <f t="shared" si="0"/>
        <v>20</v>
      </c>
      <c r="X11" s="14">
        <f t="shared" si="0"/>
        <v>10</v>
      </c>
      <c r="Y11" s="14">
        <f t="shared" si="0"/>
        <v>25</v>
      </c>
      <c r="Z11" s="14">
        <f t="shared" si="0"/>
        <v>15</v>
      </c>
      <c r="AA11" s="15">
        <f t="shared" si="0"/>
        <v>12</v>
      </c>
    </row>
    <row r="12" spans="1:27" x14ac:dyDescent="0.25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outlineLevel="1" x14ac:dyDescent="0.25">
      <c r="A14" s="6" t="s">
        <v>64</v>
      </c>
      <c r="B14">
        <v>7</v>
      </c>
      <c r="C14" s="6">
        <v>0</v>
      </c>
      <c r="D14">
        <v>0</v>
      </c>
      <c r="E14">
        <v>0</v>
      </c>
      <c r="F14">
        <v>0</v>
      </c>
      <c r="G14" s="7">
        <v>0</v>
      </c>
      <c r="H14" s="6">
        <v>0</v>
      </c>
      <c r="I14">
        <v>1</v>
      </c>
      <c r="J14">
        <v>1</v>
      </c>
      <c r="K14">
        <v>1</v>
      </c>
      <c r="L14" s="7">
        <v>0</v>
      </c>
      <c r="M14" s="6">
        <v>0</v>
      </c>
      <c r="N14">
        <v>0</v>
      </c>
      <c r="O14">
        <v>0</v>
      </c>
      <c r="P14">
        <v>0</v>
      </c>
      <c r="Q14" s="7">
        <v>1</v>
      </c>
      <c r="R14" s="6">
        <v>0</v>
      </c>
      <c r="S14">
        <v>0</v>
      </c>
      <c r="T14">
        <v>0</v>
      </c>
      <c r="U14">
        <v>1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outlineLevel="1" x14ac:dyDescent="0.25">
      <c r="A15" s="6" t="s">
        <v>65</v>
      </c>
      <c r="B15">
        <v>3</v>
      </c>
      <c r="C15" s="6">
        <v>7</v>
      </c>
      <c r="D15">
        <v>4</v>
      </c>
      <c r="E15">
        <v>6</v>
      </c>
      <c r="F15">
        <v>5</v>
      </c>
      <c r="G15" s="7">
        <v>5</v>
      </c>
      <c r="H15" s="6">
        <v>6</v>
      </c>
      <c r="I15">
        <v>6</v>
      </c>
      <c r="J15">
        <v>7</v>
      </c>
      <c r="K15">
        <v>7</v>
      </c>
      <c r="L15" s="7">
        <v>7</v>
      </c>
      <c r="M15" s="6">
        <v>5</v>
      </c>
      <c r="N15">
        <v>6</v>
      </c>
      <c r="O15">
        <v>4</v>
      </c>
      <c r="P15">
        <v>3</v>
      </c>
      <c r="Q15" s="7">
        <v>1</v>
      </c>
      <c r="R15" s="6">
        <v>5</v>
      </c>
      <c r="S15">
        <v>5</v>
      </c>
      <c r="T15">
        <v>4</v>
      </c>
      <c r="U15">
        <v>4</v>
      </c>
      <c r="V15" s="7">
        <v>6</v>
      </c>
      <c r="W15" s="6">
        <v>7</v>
      </c>
      <c r="X15">
        <v>6</v>
      </c>
      <c r="Y15">
        <v>2</v>
      </c>
      <c r="Z15">
        <v>6</v>
      </c>
      <c r="AA15" s="7">
        <v>3</v>
      </c>
    </row>
    <row r="16" spans="1:27" outlineLevel="1" x14ac:dyDescent="0.25">
      <c r="A16" s="6" t="s">
        <v>66</v>
      </c>
      <c r="B16">
        <v>-2</v>
      </c>
      <c r="C16" s="6">
        <v>2</v>
      </c>
      <c r="D16">
        <v>1</v>
      </c>
      <c r="E16">
        <v>3</v>
      </c>
      <c r="F16">
        <v>2</v>
      </c>
      <c r="G16" s="7">
        <v>2</v>
      </c>
      <c r="H16" s="6">
        <v>0</v>
      </c>
      <c r="I16">
        <v>2</v>
      </c>
      <c r="J16">
        <v>1</v>
      </c>
      <c r="K16">
        <v>1</v>
      </c>
      <c r="L16" s="7">
        <v>0</v>
      </c>
      <c r="M16" s="6">
        <v>1</v>
      </c>
      <c r="N16">
        <v>2</v>
      </c>
      <c r="O16">
        <v>4</v>
      </c>
      <c r="P16">
        <v>0</v>
      </c>
      <c r="Q16" s="7">
        <v>2</v>
      </c>
      <c r="R16" s="6">
        <v>0</v>
      </c>
      <c r="S16">
        <v>3</v>
      </c>
      <c r="T16">
        <v>3</v>
      </c>
      <c r="U16">
        <v>3</v>
      </c>
      <c r="V16" s="7">
        <v>1</v>
      </c>
      <c r="W16" s="6">
        <v>2</v>
      </c>
      <c r="X16">
        <v>1</v>
      </c>
      <c r="Y16">
        <v>0</v>
      </c>
      <c r="Z16">
        <v>2</v>
      </c>
      <c r="AA16" s="7">
        <v>2</v>
      </c>
    </row>
    <row r="17" spans="1:27" outlineLevel="1" x14ac:dyDescent="0.25">
      <c r="A17" s="6" t="s">
        <v>67</v>
      </c>
      <c r="B17">
        <v>-4</v>
      </c>
      <c r="C17" s="6">
        <v>0</v>
      </c>
      <c r="D17">
        <v>0</v>
      </c>
      <c r="E17">
        <v>0</v>
      </c>
      <c r="F17">
        <v>0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0</v>
      </c>
      <c r="M17" s="6">
        <v>0</v>
      </c>
      <c r="N17">
        <v>0</v>
      </c>
      <c r="O17">
        <v>0</v>
      </c>
      <c r="P17">
        <v>0</v>
      </c>
      <c r="Q17" s="7">
        <v>0</v>
      </c>
      <c r="R17" s="6">
        <v>0</v>
      </c>
      <c r="S17">
        <v>0</v>
      </c>
      <c r="T17">
        <v>0</v>
      </c>
      <c r="U17">
        <v>0</v>
      </c>
      <c r="V17" s="7">
        <v>0</v>
      </c>
      <c r="W17" s="6">
        <v>0</v>
      </c>
      <c r="X17">
        <v>1</v>
      </c>
      <c r="Y17">
        <v>0</v>
      </c>
      <c r="Z17">
        <v>0</v>
      </c>
      <c r="AA17" s="7">
        <v>0</v>
      </c>
    </row>
    <row r="18" spans="1:27" ht="15.75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thickBot="1" x14ac:dyDescent="0.3">
      <c r="C19" s="14">
        <f>(C13*$B13)+(C14*$B14)+(C15*$B15)+(C16*$B16)+(C17*$B17)+(C18*$B18)</f>
        <v>17</v>
      </c>
      <c r="D19" s="14">
        <f t="shared" ref="D19:AA19" si="1">(D13*$B13)+(D14*$B14)+(D15*$B15)+(D16*$B16)+(D17*$B17)+(D18*$B18)</f>
        <v>10</v>
      </c>
      <c r="E19" s="14">
        <f t="shared" si="1"/>
        <v>12</v>
      </c>
      <c r="F19" s="14">
        <f t="shared" si="1"/>
        <v>11</v>
      </c>
      <c r="G19" s="14">
        <f t="shared" si="1"/>
        <v>11</v>
      </c>
      <c r="H19" s="14">
        <f t="shared" si="1"/>
        <v>18</v>
      </c>
      <c r="I19" s="14">
        <f t="shared" si="1"/>
        <v>21</v>
      </c>
      <c r="J19" s="14">
        <f t="shared" si="1"/>
        <v>26</v>
      </c>
      <c r="K19" s="14">
        <f t="shared" si="1"/>
        <v>26</v>
      </c>
      <c r="L19" s="14">
        <f t="shared" si="1"/>
        <v>21</v>
      </c>
      <c r="M19" s="14">
        <f t="shared" si="1"/>
        <v>13</v>
      </c>
      <c r="N19" s="14">
        <f t="shared" si="1"/>
        <v>14</v>
      </c>
      <c r="O19" s="14">
        <f t="shared" si="1"/>
        <v>4</v>
      </c>
      <c r="P19" s="14">
        <f t="shared" si="1"/>
        <v>9</v>
      </c>
      <c r="Q19" s="15">
        <f t="shared" si="1"/>
        <v>6</v>
      </c>
      <c r="R19" s="14">
        <f t="shared" si="1"/>
        <v>15</v>
      </c>
      <c r="S19" s="14">
        <f t="shared" si="1"/>
        <v>9</v>
      </c>
      <c r="T19" s="14">
        <f t="shared" si="1"/>
        <v>6</v>
      </c>
      <c r="U19" s="14">
        <f t="shared" si="1"/>
        <v>13</v>
      </c>
      <c r="V19" s="15">
        <f t="shared" si="1"/>
        <v>16</v>
      </c>
      <c r="W19" s="14">
        <f t="shared" si="1"/>
        <v>17</v>
      </c>
      <c r="X19" s="14">
        <f t="shared" si="1"/>
        <v>12</v>
      </c>
      <c r="Y19" s="14">
        <f t="shared" si="1"/>
        <v>6</v>
      </c>
      <c r="Z19" s="14">
        <f t="shared" si="1"/>
        <v>14</v>
      </c>
      <c r="AA19" s="15">
        <f t="shared" si="1"/>
        <v>5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>
        <v>0</v>
      </c>
      <c r="H21" s="6">
        <v>0</v>
      </c>
      <c r="I21">
        <v>0</v>
      </c>
      <c r="J21">
        <v>0</v>
      </c>
      <c r="K21">
        <v>0</v>
      </c>
      <c r="L21" s="7">
        <v>0</v>
      </c>
      <c r="M21" s="6">
        <v>0</v>
      </c>
      <c r="O21">
        <v>0</v>
      </c>
      <c r="Q21" s="7">
        <v>0</v>
      </c>
      <c r="R21" s="6">
        <v>0</v>
      </c>
      <c r="S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Z21">
        <v>0</v>
      </c>
      <c r="AA21" s="7"/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>
        <v>0</v>
      </c>
      <c r="H22" s="6">
        <v>1</v>
      </c>
      <c r="I22">
        <v>0</v>
      </c>
      <c r="J22">
        <v>0</v>
      </c>
      <c r="K22">
        <v>0</v>
      </c>
      <c r="L22" s="7">
        <v>0</v>
      </c>
      <c r="M22" s="6">
        <v>1</v>
      </c>
      <c r="O22">
        <v>0</v>
      </c>
      <c r="Q22" s="7">
        <v>0</v>
      </c>
      <c r="R22" s="6">
        <v>0</v>
      </c>
      <c r="S22">
        <v>0</v>
      </c>
      <c r="U22">
        <v>0</v>
      </c>
      <c r="V22" s="7">
        <v>0</v>
      </c>
      <c r="W22" s="6">
        <v>0</v>
      </c>
      <c r="X22">
        <v>0</v>
      </c>
      <c r="Y22">
        <v>0</v>
      </c>
      <c r="Z22">
        <v>0</v>
      </c>
      <c r="AA22" s="7"/>
    </row>
    <row r="23" spans="1:27" outlineLevel="1" x14ac:dyDescent="0.25">
      <c r="A23" s="6" t="s">
        <v>65</v>
      </c>
      <c r="B23">
        <v>3</v>
      </c>
      <c r="C23" s="6">
        <v>4</v>
      </c>
      <c r="D23">
        <v>6</v>
      </c>
      <c r="E23">
        <v>5</v>
      </c>
      <c r="F23">
        <v>5</v>
      </c>
      <c r="G23" s="7">
        <v>4</v>
      </c>
      <c r="H23" s="6">
        <v>4</v>
      </c>
      <c r="I23">
        <v>4</v>
      </c>
      <c r="J23">
        <v>5</v>
      </c>
      <c r="K23">
        <v>6</v>
      </c>
      <c r="L23" s="7">
        <v>5</v>
      </c>
      <c r="M23" s="6">
        <v>6</v>
      </c>
      <c r="O23">
        <v>7</v>
      </c>
      <c r="Q23" s="7">
        <v>7</v>
      </c>
      <c r="R23" s="6">
        <v>4</v>
      </c>
      <c r="S23">
        <v>3</v>
      </c>
      <c r="U23">
        <v>7</v>
      </c>
      <c r="V23" s="7">
        <v>5</v>
      </c>
      <c r="W23" s="6">
        <v>3</v>
      </c>
      <c r="X23">
        <v>3</v>
      </c>
      <c r="Y23">
        <v>6</v>
      </c>
      <c r="Z23">
        <v>6</v>
      </c>
      <c r="AA23" s="7"/>
    </row>
    <row r="24" spans="1:27" outlineLevel="1" x14ac:dyDescent="0.25">
      <c r="A24" s="6" t="s">
        <v>66</v>
      </c>
      <c r="B24">
        <v>-2</v>
      </c>
      <c r="C24" s="6">
        <v>1</v>
      </c>
      <c r="D24">
        <v>1</v>
      </c>
      <c r="E24">
        <v>2</v>
      </c>
      <c r="F24">
        <v>0</v>
      </c>
      <c r="G24" s="7">
        <v>2</v>
      </c>
      <c r="H24" s="6">
        <v>5</v>
      </c>
      <c r="I24">
        <v>1</v>
      </c>
      <c r="J24">
        <v>3</v>
      </c>
      <c r="K24">
        <v>0</v>
      </c>
      <c r="L24" s="7">
        <v>1</v>
      </c>
      <c r="M24" s="6">
        <v>3</v>
      </c>
      <c r="O24">
        <v>0</v>
      </c>
      <c r="Q24" s="7">
        <v>1</v>
      </c>
      <c r="R24" s="6">
        <v>0</v>
      </c>
      <c r="S24">
        <v>1</v>
      </c>
      <c r="U24">
        <v>1</v>
      </c>
      <c r="V24" s="7">
        <v>1</v>
      </c>
      <c r="W24" s="6">
        <v>2</v>
      </c>
      <c r="X24">
        <v>2</v>
      </c>
      <c r="Y24">
        <v>2</v>
      </c>
      <c r="Z24">
        <v>2</v>
      </c>
      <c r="AA24" s="7"/>
    </row>
    <row r="25" spans="1:27" outlineLevel="1" x14ac:dyDescent="0.25">
      <c r="A25" s="6" t="s">
        <v>67</v>
      </c>
      <c r="B25">
        <v>-4</v>
      </c>
      <c r="C25" s="6">
        <v>1</v>
      </c>
      <c r="D25">
        <v>0</v>
      </c>
      <c r="E25">
        <v>0</v>
      </c>
      <c r="F25">
        <v>0</v>
      </c>
      <c r="G25" s="7">
        <v>0</v>
      </c>
      <c r="H25" s="6">
        <v>0</v>
      </c>
      <c r="I25">
        <v>0</v>
      </c>
      <c r="J25">
        <v>0</v>
      </c>
      <c r="K25">
        <v>0</v>
      </c>
      <c r="L25" s="7">
        <v>0</v>
      </c>
      <c r="M25" s="6">
        <v>0</v>
      </c>
      <c r="O25">
        <v>0</v>
      </c>
      <c r="Q25" s="7">
        <v>0</v>
      </c>
      <c r="R25" s="6">
        <v>0</v>
      </c>
      <c r="S25">
        <v>0</v>
      </c>
      <c r="U25">
        <v>0</v>
      </c>
      <c r="V25" s="7">
        <v>0</v>
      </c>
      <c r="W25" s="6">
        <v>0</v>
      </c>
      <c r="X25">
        <v>0</v>
      </c>
      <c r="Y25">
        <v>0</v>
      </c>
      <c r="Z25">
        <v>0</v>
      </c>
      <c r="AA25" s="7"/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>
        <v>0</v>
      </c>
      <c r="H26" s="11">
        <v>0</v>
      </c>
      <c r="I26" s="12">
        <v>0</v>
      </c>
      <c r="J26" s="12">
        <v>0</v>
      </c>
      <c r="K26" s="12">
        <v>0</v>
      </c>
      <c r="L26" s="13">
        <v>0</v>
      </c>
      <c r="M26" s="11">
        <v>0</v>
      </c>
      <c r="N26" s="12"/>
      <c r="O26" s="12">
        <v>0</v>
      </c>
      <c r="P26" s="12"/>
      <c r="Q26" s="13">
        <v>0</v>
      </c>
      <c r="R26" s="11">
        <v>0</v>
      </c>
      <c r="S26" s="12">
        <v>0</v>
      </c>
      <c r="T26" s="12"/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>
        <v>0</v>
      </c>
      <c r="AA26" s="13"/>
    </row>
    <row r="27" spans="1:27" ht="15.75" thickBot="1" x14ac:dyDescent="0.3">
      <c r="C27" s="14">
        <f>(C21*$B21)+(C22*$B22)+(C23*$B23)+(C24*$B24)+(C25*$B25)+(C26*$B26)</f>
        <v>6</v>
      </c>
      <c r="D27" s="14">
        <f t="shared" ref="D27:AA27" si="2">(D21*$B21)+(D22*$B22)+(D23*$B23)+(D24*$B24)+(D25*$B25)+(D26*$B26)</f>
        <v>16</v>
      </c>
      <c r="E27" s="14">
        <f t="shared" si="2"/>
        <v>11</v>
      </c>
      <c r="F27" s="14">
        <f t="shared" si="2"/>
        <v>15</v>
      </c>
      <c r="G27" s="14">
        <f t="shared" si="2"/>
        <v>8</v>
      </c>
      <c r="H27" s="14">
        <f t="shared" si="2"/>
        <v>9</v>
      </c>
      <c r="I27" s="14">
        <f t="shared" si="2"/>
        <v>10</v>
      </c>
      <c r="J27" s="14">
        <f t="shared" si="2"/>
        <v>9</v>
      </c>
      <c r="K27" s="14">
        <f t="shared" si="2"/>
        <v>18</v>
      </c>
      <c r="L27" s="14">
        <f t="shared" si="2"/>
        <v>13</v>
      </c>
      <c r="M27" s="14">
        <f t="shared" si="2"/>
        <v>19</v>
      </c>
      <c r="N27" s="14">
        <f t="shared" si="2"/>
        <v>0</v>
      </c>
      <c r="O27" s="14">
        <f t="shared" si="2"/>
        <v>21</v>
      </c>
      <c r="P27" s="14">
        <f t="shared" si="2"/>
        <v>0</v>
      </c>
      <c r="Q27" s="15">
        <f t="shared" si="2"/>
        <v>19</v>
      </c>
      <c r="R27" s="14">
        <f t="shared" si="2"/>
        <v>12</v>
      </c>
      <c r="S27" s="14">
        <f t="shared" si="2"/>
        <v>7</v>
      </c>
      <c r="T27" s="14">
        <f t="shared" si="2"/>
        <v>0</v>
      </c>
      <c r="U27" s="14">
        <f t="shared" si="2"/>
        <v>19</v>
      </c>
      <c r="V27" s="15">
        <f t="shared" si="2"/>
        <v>13</v>
      </c>
      <c r="W27" s="14">
        <f t="shared" si="2"/>
        <v>5</v>
      </c>
      <c r="X27" s="14">
        <f t="shared" si="2"/>
        <v>5</v>
      </c>
      <c r="Y27" s="14">
        <f t="shared" si="2"/>
        <v>14</v>
      </c>
      <c r="Z27" s="14">
        <f t="shared" si="2"/>
        <v>14</v>
      </c>
      <c r="AA27" s="15">
        <f t="shared" si="2"/>
        <v>0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>
        <v>0</v>
      </c>
      <c r="H29" s="6">
        <v>0</v>
      </c>
      <c r="I29">
        <v>0</v>
      </c>
      <c r="J29">
        <v>0</v>
      </c>
      <c r="K29">
        <v>0</v>
      </c>
      <c r="L29" s="7">
        <v>0</v>
      </c>
      <c r="M29" s="6">
        <v>0</v>
      </c>
      <c r="O29">
        <v>0</v>
      </c>
      <c r="Q29" s="7">
        <v>0</v>
      </c>
      <c r="R29" s="6">
        <v>0</v>
      </c>
      <c r="S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Z29">
        <v>0</v>
      </c>
      <c r="AA29" s="7"/>
    </row>
    <row r="30" spans="1:27" outlineLevel="1" x14ac:dyDescent="0.25">
      <c r="A30" s="6" t="s">
        <v>64</v>
      </c>
      <c r="B30">
        <v>7</v>
      </c>
      <c r="C30" s="6">
        <v>0</v>
      </c>
      <c r="D30">
        <v>0</v>
      </c>
      <c r="E30">
        <v>0</v>
      </c>
      <c r="F30">
        <v>0</v>
      </c>
      <c r="G30" s="7">
        <v>0</v>
      </c>
      <c r="H30" s="6">
        <v>1</v>
      </c>
      <c r="I30">
        <v>0</v>
      </c>
      <c r="J30">
        <v>1</v>
      </c>
      <c r="K30">
        <v>0</v>
      </c>
      <c r="L30" s="7">
        <v>0</v>
      </c>
      <c r="M30" s="6">
        <v>1</v>
      </c>
      <c r="O30">
        <v>0</v>
      </c>
      <c r="Q30" s="7">
        <v>0</v>
      </c>
      <c r="R30" s="6">
        <v>0</v>
      </c>
      <c r="S30">
        <v>0</v>
      </c>
      <c r="U30">
        <v>0</v>
      </c>
      <c r="V30" s="7">
        <v>0</v>
      </c>
      <c r="W30" s="6">
        <v>0</v>
      </c>
      <c r="X30">
        <v>0</v>
      </c>
      <c r="Y30">
        <v>0</v>
      </c>
      <c r="Z30">
        <v>1</v>
      </c>
      <c r="AA30" s="7"/>
    </row>
    <row r="31" spans="1:27" outlineLevel="1" x14ac:dyDescent="0.25">
      <c r="A31" s="6" t="s">
        <v>65</v>
      </c>
      <c r="B31">
        <v>3</v>
      </c>
      <c r="C31" s="6">
        <v>4</v>
      </c>
      <c r="D31">
        <v>4</v>
      </c>
      <c r="E31">
        <v>4</v>
      </c>
      <c r="F31">
        <v>7</v>
      </c>
      <c r="G31" s="7">
        <v>1</v>
      </c>
      <c r="H31" s="6">
        <v>5</v>
      </c>
      <c r="I31">
        <v>4</v>
      </c>
      <c r="J31">
        <v>2</v>
      </c>
      <c r="K31">
        <v>6</v>
      </c>
      <c r="L31" s="7">
        <v>4</v>
      </c>
      <c r="M31" s="6">
        <v>4</v>
      </c>
      <c r="O31">
        <v>3</v>
      </c>
      <c r="Q31" s="7">
        <v>6</v>
      </c>
      <c r="R31" s="6">
        <v>5</v>
      </c>
      <c r="S31">
        <v>7</v>
      </c>
      <c r="U31">
        <v>3</v>
      </c>
      <c r="V31" s="7">
        <v>6</v>
      </c>
      <c r="W31" s="6">
        <v>3</v>
      </c>
      <c r="X31">
        <v>5</v>
      </c>
      <c r="Y31">
        <v>4</v>
      </c>
      <c r="Z31">
        <v>1</v>
      </c>
      <c r="AA31" s="7"/>
    </row>
    <row r="32" spans="1:27" outlineLevel="1" x14ac:dyDescent="0.25">
      <c r="A32" s="6" t="s">
        <v>66</v>
      </c>
      <c r="B32">
        <v>-2</v>
      </c>
      <c r="C32" s="6">
        <v>1</v>
      </c>
      <c r="D32">
        <v>1</v>
      </c>
      <c r="E32">
        <v>4</v>
      </c>
      <c r="F32">
        <v>2</v>
      </c>
      <c r="G32" s="7">
        <v>4</v>
      </c>
      <c r="H32" s="6">
        <v>1</v>
      </c>
      <c r="I32">
        <v>1</v>
      </c>
      <c r="J32">
        <v>2</v>
      </c>
      <c r="K32">
        <v>1</v>
      </c>
      <c r="L32" s="7">
        <v>2</v>
      </c>
      <c r="M32" s="6">
        <v>3</v>
      </c>
      <c r="O32">
        <v>2</v>
      </c>
      <c r="Q32" s="7">
        <v>2</v>
      </c>
      <c r="R32" s="6">
        <v>2</v>
      </c>
      <c r="S32">
        <v>1</v>
      </c>
      <c r="U32">
        <v>1</v>
      </c>
      <c r="V32" s="7">
        <v>3</v>
      </c>
      <c r="W32" s="6">
        <v>0</v>
      </c>
      <c r="X32">
        <v>1</v>
      </c>
      <c r="Y32">
        <v>3</v>
      </c>
      <c r="Z32">
        <v>0</v>
      </c>
      <c r="AA32" s="7"/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1</v>
      </c>
      <c r="F33">
        <v>0</v>
      </c>
      <c r="G33" s="7">
        <v>0</v>
      </c>
      <c r="H33" s="6">
        <v>0</v>
      </c>
      <c r="I33">
        <v>0</v>
      </c>
      <c r="J33">
        <v>0</v>
      </c>
      <c r="K33">
        <v>0</v>
      </c>
      <c r="L33" s="7">
        <v>0</v>
      </c>
      <c r="M33" s="6">
        <v>0</v>
      </c>
      <c r="O33">
        <v>0</v>
      </c>
      <c r="Q33" s="7">
        <v>1</v>
      </c>
      <c r="R33" s="6">
        <v>0</v>
      </c>
      <c r="S33">
        <v>0</v>
      </c>
      <c r="U33">
        <v>0</v>
      </c>
      <c r="V33" s="7">
        <v>0</v>
      </c>
      <c r="W33" s="6">
        <v>0</v>
      </c>
      <c r="X33">
        <v>0</v>
      </c>
      <c r="Y33">
        <v>1</v>
      </c>
      <c r="Z33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>
        <v>0</v>
      </c>
      <c r="H34" s="11">
        <v>0</v>
      </c>
      <c r="I34" s="12">
        <v>0</v>
      </c>
      <c r="J34" s="12">
        <v>0</v>
      </c>
      <c r="K34" s="12">
        <v>0</v>
      </c>
      <c r="L34" s="13">
        <v>0</v>
      </c>
      <c r="M34" s="11">
        <v>0</v>
      </c>
      <c r="N34" s="12"/>
      <c r="O34" s="12">
        <v>0</v>
      </c>
      <c r="P34" s="12"/>
      <c r="Q34" s="13">
        <v>0</v>
      </c>
      <c r="R34" s="11">
        <v>0</v>
      </c>
      <c r="S34" s="12">
        <v>0</v>
      </c>
      <c r="T34" s="12"/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>
        <v>0</v>
      </c>
      <c r="AA34" s="13"/>
    </row>
    <row r="35" spans="1:27" ht="15.75" thickBot="1" x14ac:dyDescent="0.3">
      <c r="C35" s="14">
        <f>(C29*$B29)+(C30*$B30)+(C31*$B31)+(C32*$B32)+(C33*$B33)+(C34*$B34)</f>
        <v>10</v>
      </c>
      <c r="D35" s="14">
        <f t="shared" ref="D35:AA35" si="3">(D29*$B29)+(D30*$B30)+(D31*$B31)+(D32*$B32)+(D33*$B33)+(D34*$B34)</f>
        <v>10</v>
      </c>
      <c r="E35" s="14">
        <f t="shared" si="3"/>
        <v>0</v>
      </c>
      <c r="F35" s="14">
        <f t="shared" si="3"/>
        <v>17</v>
      </c>
      <c r="G35" s="14">
        <f t="shared" si="3"/>
        <v>-5</v>
      </c>
      <c r="H35" s="14">
        <f t="shared" si="3"/>
        <v>20</v>
      </c>
      <c r="I35" s="14">
        <f t="shared" si="3"/>
        <v>10</v>
      </c>
      <c r="J35" s="14">
        <f t="shared" si="3"/>
        <v>9</v>
      </c>
      <c r="K35" s="14">
        <f t="shared" si="3"/>
        <v>16</v>
      </c>
      <c r="L35" s="14">
        <f t="shared" si="3"/>
        <v>8</v>
      </c>
      <c r="M35" s="14">
        <f t="shared" si="3"/>
        <v>13</v>
      </c>
      <c r="N35" s="14">
        <f t="shared" si="3"/>
        <v>0</v>
      </c>
      <c r="O35" s="14">
        <f t="shared" si="3"/>
        <v>5</v>
      </c>
      <c r="P35" s="14">
        <f t="shared" si="3"/>
        <v>0</v>
      </c>
      <c r="Q35" s="15">
        <f t="shared" si="3"/>
        <v>10</v>
      </c>
      <c r="R35" s="14">
        <f t="shared" si="3"/>
        <v>11</v>
      </c>
      <c r="S35" s="14">
        <f t="shared" si="3"/>
        <v>19</v>
      </c>
      <c r="T35" s="14">
        <f t="shared" si="3"/>
        <v>0</v>
      </c>
      <c r="U35" s="14">
        <f t="shared" si="3"/>
        <v>7</v>
      </c>
      <c r="V35" s="15">
        <f t="shared" si="3"/>
        <v>12</v>
      </c>
      <c r="W35" s="14">
        <f t="shared" si="3"/>
        <v>9</v>
      </c>
      <c r="X35" s="14">
        <f t="shared" si="3"/>
        <v>13</v>
      </c>
      <c r="Y35" s="14">
        <f t="shared" si="3"/>
        <v>2</v>
      </c>
      <c r="Z35" s="14">
        <f t="shared" si="3"/>
        <v>10</v>
      </c>
      <c r="AA35" s="15">
        <f t="shared" si="3"/>
        <v>0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>
        <v>1</v>
      </c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K40">
        <v>1</v>
      </c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>
        <v>1</v>
      </c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D44">
        <v>1</v>
      </c>
      <c r="G44" s="7"/>
      <c r="H44" s="6"/>
      <c r="L44" s="7"/>
      <c r="M44" s="6"/>
      <c r="Q44" s="7">
        <v>1</v>
      </c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Q47" s="7"/>
      <c r="R47" s="6"/>
      <c r="U47">
        <v>1</v>
      </c>
      <c r="V47" s="7">
        <v>1</v>
      </c>
      <c r="W47" s="6"/>
      <c r="AA47" s="7"/>
    </row>
    <row r="48" spans="1:27" outlineLevel="1" x14ac:dyDescent="0.25">
      <c r="A48" s="6" t="s">
        <v>84</v>
      </c>
      <c r="B48">
        <v>5</v>
      </c>
      <c r="C48" s="6">
        <v>1</v>
      </c>
      <c r="F48">
        <v>1</v>
      </c>
      <c r="G48" s="7"/>
      <c r="H48" s="6"/>
      <c r="I48">
        <v>1</v>
      </c>
      <c r="L48" s="7"/>
      <c r="M48" s="6"/>
      <c r="Q48" s="7"/>
      <c r="R48" s="6"/>
      <c r="V48" s="7"/>
      <c r="W48" s="6">
        <v>1</v>
      </c>
      <c r="Z48">
        <v>1</v>
      </c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O50">
        <v>1</v>
      </c>
      <c r="Q50" s="7"/>
      <c r="R50" s="6"/>
      <c r="S50">
        <v>1</v>
      </c>
      <c r="V50" s="7"/>
      <c r="W50" s="6"/>
      <c r="Y50">
        <v>1</v>
      </c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J51">
        <v>1</v>
      </c>
      <c r="L51" s="7"/>
      <c r="M51" s="6"/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>
        <v>1</v>
      </c>
      <c r="F52" s="12"/>
      <c r="G52" s="13"/>
      <c r="H52" s="11">
        <v>1</v>
      </c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/>
      <c r="X52" s="12">
        <v>1</v>
      </c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/>
      <c r="L55" s="7"/>
      <c r="N55">
        <v>1</v>
      </c>
      <c r="P55">
        <v>1</v>
      </c>
      <c r="Q55" s="7"/>
      <c r="T55">
        <v>1</v>
      </c>
      <c r="V55" s="7"/>
      <c r="AA55" s="7">
        <v>1</v>
      </c>
    </row>
    <row r="56" spans="1:27" outlineLevel="1" x14ac:dyDescent="0.25">
      <c r="A56" s="6" t="s">
        <v>115</v>
      </c>
      <c r="B56">
        <v>5</v>
      </c>
      <c r="C56" s="6"/>
      <c r="D56">
        <v>1</v>
      </c>
      <c r="E56">
        <v>1</v>
      </c>
      <c r="F56">
        <v>1</v>
      </c>
      <c r="G56" s="7">
        <v>1</v>
      </c>
      <c r="H56" s="6">
        <v>1</v>
      </c>
      <c r="K56">
        <v>1</v>
      </c>
      <c r="L56" s="7"/>
      <c r="P56">
        <v>1</v>
      </c>
      <c r="Q56" s="7">
        <v>1</v>
      </c>
      <c r="R56">
        <v>2</v>
      </c>
      <c r="V56" s="7"/>
      <c r="X56">
        <v>1</v>
      </c>
      <c r="Y56">
        <v>2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>
        <v>1</v>
      </c>
      <c r="E57" s="12"/>
      <c r="F57" s="12">
        <v>1</v>
      </c>
      <c r="G57" s="13"/>
      <c r="H57" s="11"/>
      <c r="I57" s="12">
        <v>1</v>
      </c>
      <c r="J57" s="12"/>
      <c r="K57" s="12"/>
      <c r="L57" s="13"/>
      <c r="M57" s="12">
        <v>1</v>
      </c>
      <c r="N57" s="12"/>
      <c r="O57" s="12"/>
      <c r="P57" s="12"/>
      <c r="Q57" s="13"/>
      <c r="R57" s="12">
        <v>1</v>
      </c>
      <c r="S57" s="12"/>
      <c r="T57" s="12"/>
      <c r="U57" s="12"/>
      <c r="V57" s="13">
        <v>1</v>
      </c>
      <c r="W57" s="12"/>
      <c r="X57" s="12"/>
      <c r="Y57" s="12"/>
      <c r="Z57" s="12">
        <v>1</v>
      </c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57</v>
      </c>
      <c r="D59" s="16" cm="1">
        <f t="array" ref="D59">SUM(D11,D19,D27,D35,(D37:D52)*($B37:$B52),((D55*$B55)+(D56*$B56)+(D57*$B57)))</f>
        <v>79</v>
      </c>
      <c r="E59" s="16" cm="1">
        <f t="array" ref="E59">SUM(E11,E19,E27,E35,(E37:E52)*($B37:$B52),((E55*$B55)+(E56*$B56)+(E57*$B57)))</f>
        <v>53</v>
      </c>
      <c r="F59" s="16" cm="1">
        <f t="array" ref="F59">SUM(F11,F19,F27,F35,(F37:F52)*($B37:$B52),((F55*$B55)+(F56*$B56)+(F57*$B57)))</f>
        <v>71</v>
      </c>
      <c r="G59" s="16" cm="1">
        <f t="array" ref="G59">SUM(G11,G19,G27,G35,(G37:G52)*($B37:$B52),((G55*$B55)+(G56*$B56)+(G57*$B57)))</f>
        <v>40</v>
      </c>
      <c r="H59" s="16" cm="1">
        <f t="array" ref="H59">SUM(H11,H19,H27,H35,(H37:H52)*($B37:$B52),((H55*$B55)+(H56*$B56)+(H57*$B57)))</f>
        <v>60</v>
      </c>
      <c r="I59" s="16" cm="1">
        <f t="array" ref="I59">SUM(I11,I19,I27,I35,(I37:I52)*($B37:$B52),((I55*$B55)+(I56*$B56)+(I57*$B57)))</f>
        <v>63</v>
      </c>
      <c r="J59" s="16" cm="1">
        <f t="array" ref="J59">SUM(J11,J19,J27,J35,(J37:J52)*($B37:$B52),((J55*$B55)+(J56*$B56)+(J57*$B57)))</f>
        <v>50</v>
      </c>
      <c r="K59" s="16" cm="1">
        <f t="array" ref="K59">SUM(K11,K19,K27,K35,(K37:K52)*($B37:$B52),((K55*$B55)+(K56*$B56)+(K57*$B57)))</f>
        <v>97</v>
      </c>
      <c r="L59" s="16" cm="1">
        <f t="array" ref="L59">SUM(L11,L19,L27,L35,(L37:L52)*($B37:$B52),((L55*$B55)+(L56*$B56)+(L57*$B57)))</f>
        <v>60</v>
      </c>
      <c r="M59" s="16" cm="1">
        <f t="array" ref="M59">SUM(M11,M19,M27,M35,(M37:M52)*($B37:$B52),((M55*$B55)+(M56*$B56)+(M57*$B57)))</f>
        <v>94</v>
      </c>
      <c r="N59" s="16" cm="1">
        <f t="array" ref="N59">SUM(N11,N19,N27,N35,(N37:N52)*($B37:$B52),((N55*$B55)+(N56*$B56)+(N57*$B57)))</f>
        <v>8</v>
      </c>
      <c r="O59" s="16" cm="1">
        <f t="array" ref="O59">SUM(O11,O19,O27,O35,(O37:O52)*($B37:$B52),((O55*$B55)+(O56*$B56)+(O57*$B57)))</f>
        <v>49</v>
      </c>
      <c r="P59" s="16" cm="1">
        <f t="array" ref="P59">SUM(P11,P19,P27,P35,(P37:P52)*($B37:$B52),((P55*$B55)+(P56*$B56)+(P57*$B57)))</f>
        <v>14</v>
      </c>
      <c r="Q59" s="16" cm="1">
        <f t="array" ref="Q59">SUM(Q11,Q19,Q27,Q35,(Q37:Q52)*($B37:$B52),((Q55*$B55)+(Q56*$B56)+(Q57*$B57)))</f>
        <v>77</v>
      </c>
      <c r="R59" s="16" cm="1">
        <f t="array" ref="R59">SUM(R11,R19,R27,R35,(R37:R52)*($B37:$B52),((R55*$B55)+(R56*$B56)+(R57*$B57)))</f>
        <v>121</v>
      </c>
      <c r="S59" s="16" cm="1">
        <f t="array" ref="S59">SUM(S11,S19,S27,S35,(S37:S52)*($B37:$B52),((S55*$B55)+(S56*$B56)+(S57*$B57)))</f>
        <v>49</v>
      </c>
      <c r="T59" s="16" cm="1">
        <f t="array" ref="T59">SUM(T11,T19,T27,T35,(T37:T52)*($B37:$B52),((T55*$B55)+(T56*$B56)+(T57*$B57)))</f>
        <v>10</v>
      </c>
      <c r="U59" s="16" cm="1">
        <f t="array" ref="U59">SUM(U11,U19,U27,U35,(U37:U52)*($B37:$B52),((U55*$B55)+(U56*$B56)+(U57*$B57)))</f>
        <v>64</v>
      </c>
      <c r="V59" s="16" cm="1">
        <f t="array" ref="V59">SUM(V11,V19,V27,V35,(V37:V52)*($B37:$B52),((V55*$B55)+(V56*$B56)+(V57*$B57)))</f>
        <v>72</v>
      </c>
      <c r="W59" s="16" cm="1">
        <f t="array" ref="W59">SUM(W11,W19,W27,W35,(W37:W52)*($B37:$B52),((W55*$B55)+(W56*$B56)+(W57*$B57)))</f>
        <v>56</v>
      </c>
      <c r="X59" s="16" cm="1">
        <f t="array" ref="X59">SUM(X11,X19,X27,X35,(X37:X52)*($B37:$B52),((X55*$B55)+(X56*$B56)+(X57*$B57)))</f>
        <v>46</v>
      </c>
      <c r="Y59" s="16" cm="1">
        <f t="array" ref="Y59">SUM(Y11,Y19,Y27,Y35,(Y37:Y52)*($B37:$B52),((Y55*$B55)+(Y56*$B56)+(Y57*$B57)))</f>
        <v>60</v>
      </c>
      <c r="Z59" s="16" cm="1">
        <f t="array" ref="Z59">SUM(Z11,Z19,Z27,Z35,(Z37:Z52)*($B37:$B52),((Z55*$B55)+(Z56*$B56)+(Z57*$B57)))</f>
        <v>70</v>
      </c>
      <c r="AA59" s="16" cm="1">
        <f t="array" ref="AA59">SUM(AA11,AA19,AA27,AA35,(AA37:AA52)*($B37:$B52),((AA55*$B55)+(AA56*$B56)+(AA57*$B57)))</f>
        <v>10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300</v>
      </c>
      <c r="D61" s="18"/>
      <c r="E61" s="18"/>
      <c r="F61" s="18"/>
      <c r="G61" s="19"/>
      <c r="H61" s="17">
        <f>SUM(H59:L59)</f>
        <v>330</v>
      </c>
      <c r="I61" s="18"/>
      <c r="J61" s="18"/>
      <c r="K61" s="18"/>
      <c r="L61" s="19"/>
      <c r="M61" s="17">
        <f>SUM(M59:Q59)</f>
        <v>242</v>
      </c>
      <c r="N61" s="18"/>
      <c r="O61" s="18"/>
      <c r="P61" s="18"/>
      <c r="Q61" s="19"/>
      <c r="R61" s="17">
        <f>SUM(R59:V59)</f>
        <v>316</v>
      </c>
      <c r="S61" s="18"/>
      <c r="T61" s="18"/>
      <c r="U61" s="18"/>
      <c r="V61" s="19"/>
      <c r="W61" s="17">
        <f>SUM(W59:AA59)</f>
        <v>242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C078-BFC9-4266-B19B-8B9CC5BD167A}">
  <sheetPr codeName="Sheet12">
    <tabColor theme="0"/>
  </sheetPr>
  <dimension ref="A1:AA61"/>
  <sheetViews>
    <sheetView zoomScale="70" zoomScaleNormal="70" workbookViewId="0">
      <selection activeCell="P57" sqref="P57"/>
    </sheetView>
  </sheetViews>
  <sheetFormatPr defaultRowHeight="15" outlineLevelRow="1" x14ac:dyDescent="0.25"/>
  <sheetData>
    <row r="1" spans="1:27" ht="15.75" thickBot="1" x14ac:dyDescent="0.3">
      <c r="A1" t="s">
        <v>168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44" t="s">
        <v>52</v>
      </c>
      <c r="D2" s="4" t="s">
        <v>111</v>
      </c>
      <c r="E2" s="4" t="s">
        <v>124</v>
      </c>
      <c r="F2" s="4" t="s">
        <v>173</v>
      </c>
      <c r="G2" s="43" t="s">
        <v>174</v>
      </c>
      <c r="H2" s="44" t="s">
        <v>171</v>
      </c>
      <c r="I2" s="4" t="s">
        <v>106</v>
      </c>
      <c r="J2" s="4" t="s">
        <v>172</v>
      </c>
      <c r="K2" s="4" t="s">
        <v>114</v>
      </c>
      <c r="L2" s="45" t="s">
        <v>177</v>
      </c>
      <c r="M2" t="s">
        <v>169</v>
      </c>
      <c r="N2" s="4" t="s">
        <v>108</v>
      </c>
      <c r="O2" s="4" t="s">
        <v>163</v>
      </c>
      <c r="P2" s="4" t="s">
        <v>146</v>
      </c>
      <c r="Q2" s="5" t="s">
        <v>128</v>
      </c>
      <c r="R2" s="3" t="s">
        <v>123</v>
      </c>
      <c r="S2" s="4" t="s">
        <v>110</v>
      </c>
      <c r="T2" s="4" t="s">
        <v>165</v>
      </c>
      <c r="U2" s="4" t="s">
        <v>175</v>
      </c>
      <c r="V2" s="5" t="s">
        <v>99</v>
      </c>
      <c r="W2" s="3" t="s">
        <v>170</v>
      </c>
      <c r="X2" s="4" t="s">
        <v>149</v>
      </c>
      <c r="Y2" s="4" t="s">
        <v>105</v>
      </c>
      <c r="Z2" s="4" t="s">
        <v>98</v>
      </c>
      <c r="AA2" s="43" t="s">
        <v>176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1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0</v>
      </c>
      <c r="H6" s="6">
        <v>0</v>
      </c>
      <c r="I6">
        <v>0</v>
      </c>
      <c r="J6">
        <v>0</v>
      </c>
      <c r="K6">
        <v>0</v>
      </c>
      <c r="L6" s="7">
        <v>0</v>
      </c>
      <c r="M6" s="6">
        <v>0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0</v>
      </c>
      <c r="Z6">
        <v>0</v>
      </c>
      <c r="AA6" s="7">
        <v>1</v>
      </c>
    </row>
    <row r="7" spans="1:27" hidden="1" outlineLevel="1" x14ac:dyDescent="0.25">
      <c r="A7" s="6" t="s">
        <v>65</v>
      </c>
      <c r="B7">
        <v>3</v>
      </c>
      <c r="C7" s="6">
        <v>5</v>
      </c>
      <c r="D7">
        <v>5</v>
      </c>
      <c r="E7">
        <v>6</v>
      </c>
      <c r="F7">
        <v>6</v>
      </c>
      <c r="G7" s="7">
        <v>2</v>
      </c>
      <c r="H7" s="6">
        <v>3</v>
      </c>
      <c r="I7">
        <v>8</v>
      </c>
      <c r="J7">
        <v>6</v>
      </c>
      <c r="K7">
        <v>5</v>
      </c>
      <c r="L7" s="7">
        <v>2</v>
      </c>
      <c r="M7" s="6">
        <v>7</v>
      </c>
      <c r="N7">
        <v>7</v>
      </c>
      <c r="O7">
        <v>7</v>
      </c>
      <c r="P7">
        <v>6</v>
      </c>
      <c r="Q7" s="7">
        <v>5</v>
      </c>
      <c r="R7" s="6">
        <v>6</v>
      </c>
      <c r="S7">
        <v>5</v>
      </c>
      <c r="T7">
        <v>8</v>
      </c>
      <c r="U7">
        <v>6</v>
      </c>
      <c r="V7" s="7">
        <v>6</v>
      </c>
      <c r="W7" s="6">
        <v>7</v>
      </c>
      <c r="X7">
        <v>6</v>
      </c>
      <c r="Y7">
        <v>5</v>
      </c>
      <c r="Z7">
        <v>8</v>
      </c>
      <c r="AA7" s="7">
        <v>1</v>
      </c>
    </row>
    <row r="8" spans="1:27" hidden="1" outlineLevel="1" x14ac:dyDescent="0.25">
      <c r="A8" s="6" t="s">
        <v>66</v>
      </c>
      <c r="B8">
        <v>-2</v>
      </c>
      <c r="C8" s="6">
        <v>3</v>
      </c>
      <c r="D8">
        <v>1</v>
      </c>
      <c r="E8">
        <v>3</v>
      </c>
      <c r="F8">
        <v>2</v>
      </c>
      <c r="G8" s="7">
        <v>2</v>
      </c>
      <c r="H8" s="6">
        <v>1</v>
      </c>
      <c r="I8">
        <v>2</v>
      </c>
      <c r="J8">
        <v>2</v>
      </c>
      <c r="K8">
        <v>2</v>
      </c>
      <c r="L8" s="7">
        <v>3</v>
      </c>
      <c r="M8" s="6">
        <v>0</v>
      </c>
      <c r="N8">
        <v>1</v>
      </c>
      <c r="O8">
        <v>4</v>
      </c>
      <c r="P8">
        <v>0</v>
      </c>
      <c r="Q8" s="7">
        <v>0</v>
      </c>
      <c r="R8" s="6">
        <v>2</v>
      </c>
      <c r="S8">
        <v>2</v>
      </c>
      <c r="T8">
        <v>4</v>
      </c>
      <c r="U8">
        <v>2</v>
      </c>
      <c r="V8" s="7">
        <v>3</v>
      </c>
      <c r="W8" s="6">
        <v>4</v>
      </c>
      <c r="X8">
        <v>0</v>
      </c>
      <c r="Y8">
        <v>2</v>
      </c>
      <c r="Z8">
        <v>1</v>
      </c>
      <c r="AA8" s="7">
        <v>5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1</v>
      </c>
      <c r="F9">
        <v>2</v>
      </c>
      <c r="G9" s="7">
        <v>0</v>
      </c>
      <c r="H9" s="6">
        <v>2</v>
      </c>
      <c r="I9">
        <v>0</v>
      </c>
      <c r="J9">
        <v>0</v>
      </c>
      <c r="K9">
        <v>0</v>
      </c>
      <c r="L9" s="7">
        <v>0</v>
      </c>
      <c r="M9" s="6">
        <v>0</v>
      </c>
      <c r="N9">
        <v>0</v>
      </c>
      <c r="O9">
        <v>1</v>
      </c>
      <c r="P9">
        <v>0</v>
      </c>
      <c r="Q9" s="7">
        <v>0</v>
      </c>
      <c r="R9" s="6">
        <v>0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9</v>
      </c>
      <c r="D11" s="14">
        <f t="shared" ref="D11:AA11" si="0">(D5*$B5)+(D6*$B6)+(D7*$B7)+(D8*$B8)+(D9*$B9)+(D10*$B10)</f>
        <v>28</v>
      </c>
      <c r="E11" s="14">
        <f t="shared" si="0"/>
        <v>8</v>
      </c>
      <c r="F11" s="14">
        <f t="shared" si="0"/>
        <v>6</v>
      </c>
      <c r="G11" s="14">
        <f t="shared" si="0"/>
        <v>2</v>
      </c>
      <c r="H11" s="14">
        <f t="shared" si="0"/>
        <v>-1</v>
      </c>
      <c r="I11" s="14">
        <f t="shared" si="0"/>
        <v>20</v>
      </c>
      <c r="J11" s="14">
        <f t="shared" si="0"/>
        <v>14</v>
      </c>
      <c r="K11" s="14">
        <f t="shared" si="0"/>
        <v>11</v>
      </c>
      <c r="L11" s="14">
        <f t="shared" si="0"/>
        <v>0</v>
      </c>
      <c r="M11" s="14">
        <f t="shared" si="0"/>
        <v>21</v>
      </c>
      <c r="N11" s="14">
        <f t="shared" si="0"/>
        <v>19</v>
      </c>
      <c r="O11" s="14">
        <f t="shared" si="0"/>
        <v>9</v>
      </c>
      <c r="P11" s="14">
        <f t="shared" si="0"/>
        <v>18</v>
      </c>
      <c r="Q11" s="15">
        <f t="shared" si="0"/>
        <v>15</v>
      </c>
      <c r="R11" s="14">
        <f t="shared" si="0"/>
        <v>14</v>
      </c>
      <c r="S11" s="14">
        <f t="shared" si="0"/>
        <v>11</v>
      </c>
      <c r="T11" s="14">
        <f t="shared" si="0"/>
        <v>16</v>
      </c>
      <c r="U11" s="14">
        <f t="shared" si="0"/>
        <v>14</v>
      </c>
      <c r="V11" s="15">
        <f t="shared" si="0"/>
        <v>12</v>
      </c>
      <c r="W11" s="14">
        <f t="shared" si="0"/>
        <v>13</v>
      </c>
      <c r="X11" s="14">
        <f t="shared" si="0"/>
        <v>18</v>
      </c>
      <c r="Y11" s="14">
        <f t="shared" si="0"/>
        <v>11</v>
      </c>
      <c r="Z11" s="14">
        <f t="shared" si="0"/>
        <v>22</v>
      </c>
      <c r="AA11" s="15">
        <f t="shared" si="0"/>
        <v>0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0</v>
      </c>
      <c r="D14">
        <v>1</v>
      </c>
      <c r="E14">
        <v>0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0</v>
      </c>
      <c r="N14">
        <v>0</v>
      </c>
      <c r="O14">
        <v>0</v>
      </c>
      <c r="P14">
        <v>0</v>
      </c>
      <c r="Q14" s="7">
        <v>0</v>
      </c>
      <c r="R14" s="6">
        <v>0</v>
      </c>
      <c r="S14">
        <v>0</v>
      </c>
      <c r="T14">
        <v>0</v>
      </c>
      <c r="U14">
        <v>1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hidden="1" outlineLevel="1" x14ac:dyDescent="0.25">
      <c r="A15" s="6" t="s">
        <v>65</v>
      </c>
      <c r="B15">
        <v>3</v>
      </c>
      <c r="C15" s="6">
        <v>7</v>
      </c>
      <c r="D15">
        <v>7</v>
      </c>
      <c r="E15">
        <v>7</v>
      </c>
      <c r="F15">
        <v>6</v>
      </c>
      <c r="G15" s="7">
        <v>3</v>
      </c>
      <c r="H15" s="6">
        <v>4</v>
      </c>
      <c r="I15">
        <v>9</v>
      </c>
      <c r="J15">
        <v>3</v>
      </c>
      <c r="K15">
        <v>6</v>
      </c>
      <c r="L15" s="7">
        <v>3</v>
      </c>
      <c r="M15" s="6">
        <v>3</v>
      </c>
      <c r="N15">
        <v>3</v>
      </c>
      <c r="O15">
        <v>7</v>
      </c>
      <c r="P15">
        <v>5</v>
      </c>
      <c r="Q15" s="7">
        <v>4</v>
      </c>
      <c r="R15" s="6">
        <v>7</v>
      </c>
      <c r="S15">
        <v>7</v>
      </c>
      <c r="T15">
        <v>5</v>
      </c>
      <c r="U15">
        <v>8</v>
      </c>
      <c r="V15" s="7">
        <v>6</v>
      </c>
      <c r="W15" s="6">
        <v>6</v>
      </c>
      <c r="X15">
        <v>6</v>
      </c>
      <c r="Y15">
        <v>4</v>
      </c>
      <c r="Z15">
        <v>7</v>
      </c>
      <c r="AA15" s="7">
        <v>5</v>
      </c>
    </row>
    <row r="16" spans="1:27" hidden="1" outlineLevel="1" x14ac:dyDescent="0.25">
      <c r="A16" s="6" t="s">
        <v>66</v>
      </c>
      <c r="B16">
        <v>-2</v>
      </c>
      <c r="C16" s="6">
        <v>4</v>
      </c>
      <c r="D16">
        <v>2</v>
      </c>
      <c r="E16">
        <v>2</v>
      </c>
      <c r="F16">
        <v>0</v>
      </c>
      <c r="G16" s="7">
        <v>3</v>
      </c>
      <c r="H16" s="6">
        <v>2</v>
      </c>
      <c r="I16">
        <v>2</v>
      </c>
      <c r="J16">
        <v>1</v>
      </c>
      <c r="K16">
        <v>1</v>
      </c>
      <c r="L16" s="7">
        <v>1</v>
      </c>
      <c r="M16" s="6">
        <v>5</v>
      </c>
      <c r="N16">
        <v>1</v>
      </c>
      <c r="O16">
        <v>1</v>
      </c>
      <c r="P16">
        <v>1</v>
      </c>
      <c r="Q16" s="7">
        <v>2</v>
      </c>
      <c r="R16" s="6">
        <v>0</v>
      </c>
      <c r="S16">
        <v>1</v>
      </c>
      <c r="T16">
        <v>0</v>
      </c>
      <c r="U16">
        <v>0</v>
      </c>
      <c r="V16" s="7">
        <v>3</v>
      </c>
      <c r="W16" s="6">
        <v>1</v>
      </c>
      <c r="X16">
        <v>1</v>
      </c>
      <c r="Y16">
        <v>0</v>
      </c>
      <c r="Z16">
        <v>0</v>
      </c>
      <c r="AA16" s="7">
        <v>1</v>
      </c>
    </row>
    <row r="17" spans="1:27" hidden="1" outlineLevel="1" x14ac:dyDescent="0.25">
      <c r="A17" s="6" t="s">
        <v>67</v>
      </c>
      <c r="B17">
        <v>-4</v>
      </c>
      <c r="C17" s="6">
        <v>1</v>
      </c>
      <c r="D17">
        <v>0</v>
      </c>
      <c r="E17">
        <v>0</v>
      </c>
      <c r="F17">
        <v>0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1</v>
      </c>
      <c r="M17" s="6">
        <v>0</v>
      </c>
      <c r="N17">
        <v>1</v>
      </c>
      <c r="O17">
        <v>1</v>
      </c>
      <c r="P17">
        <v>0</v>
      </c>
      <c r="Q17" s="7">
        <v>1</v>
      </c>
      <c r="R17" s="6">
        <v>0</v>
      </c>
      <c r="S17">
        <v>0</v>
      </c>
      <c r="T17">
        <v>0</v>
      </c>
      <c r="U17">
        <v>1</v>
      </c>
      <c r="V17" s="7">
        <v>0</v>
      </c>
      <c r="W17" s="6">
        <v>0</v>
      </c>
      <c r="X17">
        <v>1</v>
      </c>
      <c r="Y17">
        <v>1</v>
      </c>
      <c r="Z17">
        <v>0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1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9</v>
      </c>
      <c r="D19" s="14">
        <f t="shared" ref="D19:AA19" si="1">(D13*$B13)+(D14*$B14)+(D15*$B15)+(D16*$B16)+(D17*$B17)+(D18*$B18)</f>
        <v>24</v>
      </c>
      <c r="E19" s="14">
        <f t="shared" si="1"/>
        <v>17</v>
      </c>
      <c r="F19" s="14">
        <f t="shared" si="1"/>
        <v>18</v>
      </c>
      <c r="G19" s="14">
        <f t="shared" si="1"/>
        <v>3</v>
      </c>
      <c r="H19" s="14">
        <f t="shared" si="1"/>
        <v>8</v>
      </c>
      <c r="I19" s="14">
        <f t="shared" si="1"/>
        <v>23</v>
      </c>
      <c r="J19" s="14">
        <f t="shared" si="1"/>
        <v>7</v>
      </c>
      <c r="K19" s="14">
        <f t="shared" si="1"/>
        <v>16</v>
      </c>
      <c r="L19" s="14">
        <f t="shared" si="1"/>
        <v>3</v>
      </c>
      <c r="M19" s="14">
        <f t="shared" si="1"/>
        <v>-1</v>
      </c>
      <c r="N19" s="14">
        <f t="shared" si="1"/>
        <v>3</v>
      </c>
      <c r="O19" s="14">
        <f t="shared" si="1"/>
        <v>15</v>
      </c>
      <c r="P19" s="14">
        <f t="shared" si="1"/>
        <v>13</v>
      </c>
      <c r="Q19" s="15">
        <f t="shared" si="1"/>
        <v>4</v>
      </c>
      <c r="R19" s="14">
        <f t="shared" si="1"/>
        <v>21</v>
      </c>
      <c r="S19" s="14">
        <f t="shared" si="1"/>
        <v>19</v>
      </c>
      <c r="T19" s="14">
        <f t="shared" si="1"/>
        <v>15</v>
      </c>
      <c r="U19" s="14">
        <f t="shared" si="1"/>
        <v>27</v>
      </c>
      <c r="V19" s="15">
        <f t="shared" si="1"/>
        <v>12</v>
      </c>
      <c r="W19" s="14">
        <f t="shared" si="1"/>
        <v>16</v>
      </c>
      <c r="X19" s="14">
        <f t="shared" si="1"/>
        <v>6</v>
      </c>
      <c r="Y19" s="14">
        <f t="shared" si="1"/>
        <v>8</v>
      </c>
      <c r="Z19" s="14">
        <f t="shared" si="1"/>
        <v>21</v>
      </c>
      <c r="AA19" s="15">
        <f t="shared" si="1"/>
        <v>13</v>
      </c>
    </row>
    <row r="20" spans="1:27" ht="15.75" thickBot="1" x14ac:dyDescent="0.3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hidden="1" outlineLevel="1" x14ac:dyDescent="0.25">
      <c r="A21" s="6" t="s">
        <v>63</v>
      </c>
      <c r="B21">
        <v>15</v>
      </c>
      <c r="C21" s="6"/>
      <c r="D21">
        <v>0</v>
      </c>
      <c r="E21">
        <v>0</v>
      </c>
      <c r="F21">
        <v>0</v>
      </c>
      <c r="G21" s="7"/>
      <c r="H21" s="6"/>
      <c r="I21">
        <v>0</v>
      </c>
      <c r="J21">
        <v>0</v>
      </c>
      <c r="K21">
        <v>0</v>
      </c>
      <c r="L21" s="7"/>
      <c r="M21" s="6">
        <v>0</v>
      </c>
      <c r="N21">
        <v>0</v>
      </c>
      <c r="O21">
        <v>0</v>
      </c>
      <c r="P21">
        <v>0</v>
      </c>
      <c r="Q21" s="7">
        <v>0</v>
      </c>
      <c r="R21" s="6">
        <v>0</v>
      </c>
      <c r="S21">
        <v>0</v>
      </c>
      <c r="T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Z21">
        <v>0</v>
      </c>
      <c r="AA21" s="7"/>
    </row>
    <row r="22" spans="1:27" hidden="1" outlineLevel="1" x14ac:dyDescent="0.25">
      <c r="A22" s="6" t="s">
        <v>64</v>
      </c>
      <c r="B22">
        <v>7</v>
      </c>
      <c r="C22" s="6"/>
      <c r="D22">
        <v>0</v>
      </c>
      <c r="E22">
        <v>0</v>
      </c>
      <c r="F22">
        <v>0</v>
      </c>
      <c r="G22" s="7"/>
      <c r="H22" s="6"/>
      <c r="I22">
        <v>0</v>
      </c>
      <c r="J22">
        <v>0</v>
      </c>
      <c r="K22">
        <v>0</v>
      </c>
      <c r="L22" s="7"/>
      <c r="M22" s="6">
        <v>0</v>
      </c>
      <c r="N22">
        <v>0</v>
      </c>
      <c r="O22">
        <v>0</v>
      </c>
      <c r="P22">
        <v>1</v>
      </c>
      <c r="Q22" s="7">
        <v>1</v>
      </c>
      <c r="R22" s="6">
        <v>0</v>
      </c>
      <c r="S22">
        <v>0</v>
      </c>
      <c r="T22">
        <v>0</v>
      </c>
      <c r="U22">
        <v>1</v>
      </c>
      <c r="V22" s="7">
        <v>1</v>
      </c>
      <c r="W22" s="6">
        <v>0</v>
      </c>
      <c r="X22">
        <v>1</v>
      </c>
      <c r="Y22">
        <v>0</v>
      </c>
      <c r="Z22">
        <v>1</v>
      </c>
      <c r="AA22" s="7"/>
    </row>
    <row r="23" spans="1:27" hidden="1" outlineLevel="1" x14ac:dyDescent="0.25">
      <c r="A23" s="6" t="s">
        <v>65</v>
      </c>
      <c r="B23">
        <v>3</v>
      </c>
      <c r="C23" s="6"/>
      <c r="D23">
        <v>3</v>
      </c>
      <c r="E23">
        <v>6</v>
      </c>
      <c r="F23">
        <v>7</v>
      </c>
      <c r="G23" s="7"/>
      <c r="H23" s="6"/>
      <c r="I23">
        <v>7</v>
      </c>
      <c r="J23">
        <v>7</v>
      </c>
      <c r="K23">
        <v>6</v>
      </c>
      <c r="L23" s="7"/>
      <c r="M23" s="6">
        <v>5</v>
      </c>
      <c r="N23">
        <v>7</v>
      </c>
      <c r="O23">
        <v>6</v>
      </c>
      <c r="P23">
        <v>5</v>
      </c>
      <c r="Q23" s="7">
        <v>7</v>
      </c>
      <c r="R23" s="6">
        <v>7</v>
      </c>
      <c r="S23">
        <v>6</v>
      </c>
      <c r="T23">
        <v>5</v>
      </c>
      <c r="U23">
        <v>5</v>
      </c>
      <c r="V23" s="7">
        <v>6</v>
      </c>
      <c r="W23" s="6">
        <v>5</v>
      </c>
      <c r="X23">
        <v>4</v>
      </c>
      <c r="Y23">
        <v>3</v>
      </c>
      <c r="Z23">
        <v>9</v>
      </c>
      <c r="AA23" s="7"/>
    </row>
    <row r="24" spans="1:27" hidden="1" outlineLevel="1" x14ac:dyDescent="0.25">
      <c r="A24" s="6" t="s">
        <v>66</v>
      </c>
      <c r="B24">
        <v>-2</v>
      </c>
      <c r="C24" s="6"/>
      <c r="D24">
        <v>2</v>
      </c>
      <c r="E24">
        <v>3</v>
      </c>
      <c r="F24">
        <v>2</v>
      </c>
      <c r="G24" s="7"/>
      <c r="H24" s="6"/>
      <c r="I24">
        <v>3</v>
      </c>
      <c r="J24">
        <v>2</v>
      </c>
      <c r="K24">
        <v>0</v>
      </c>
      <c r="L24" s="7"/>
      <c r="M24" s="6">
        <v>3</v>
      </c>
      <c r="N24">
        <v>2</v>
      </c>
      <c r="O24">
        <v>0</v>
      </c>
      <c r="P24">
        <v>4</v>
      </c>
      <c r="Q24" s="7">
        <v>2</v>
      </c>
      <c r="R24" s="6">
        <v>3</v>
      </c>
      <c r="S24">
        <v>4</v>
      </c>
      <c r="T24">
        <v>2</v>
      </c>
      <c r="U24">
        <v>1</v>
      </c>
      <c r="V24" s="7">
        <v>0</v>
      </c>
      <c r="W24" s="6">
        <v>5</v>
      </c>
      <c r="X24">
        <v>2</v>
      </c>
      <c r="Y24">
        <v>2</v>
      </c>
      <c r="Z24">
        <v>2</v>
      </c>
      <c r="AA24" s="7"/>
    </row>
    <row r="25" spans="1:27" hidden="1" outlineLevel="1" x14ac:dyDescent="0.25">
      <c r="A25" s="6" t="s">
        <v>67</v>
      </c>
      <c r="B25">
        <v>-4</v>
      </c>
      <c r="C25" s="6"/>
      <c r="D25">
        <v>2</v>
      </c>
      <c r="E25">
        <v>0</v>
      </c>
      <c r="F25">
        <v>0</v>
      </c>
      <c r="G25" s="7"/>
      <c r="H25" s="6"/>
      <c r="I25">
        <v>0</v>
      </c>
      <c r="J25">
        <v>0</v>
      </c>
      <c r="K25">
        <v>0</v>
      </c>
      <c r="L25" s="7"/>
      <c r="M25" s="6">
        <v>1</v>
      </c>
      <c r="N25">
        <v>0</v>
      </c>
      <c r="O25">
        <v>0</v>
      </c>
      <c r="P25">
        <v>0</v>
      </c>
      <c r="Q25" s="7">
        <v>1</v>
      </c>
      <c r="R25" s="6">
        <v>0</v>
      </c>
      <c r="S25">
        <v>0</v>
      </c>
      <c r="T25">
        <v>0</v>
      </c>
      <c r="U25">
        <v>0</v>
      </c>
      <c r="V25" s="7">
        <v>0</v>
      </c>
      <c r="W25" s="6">
        <v>0</v>
      </c>
      <c r="X25">
        <v>0</v>
      </c>
      <c r="Y25">
        <v>1</v>
      </c>
      <c r="Z25">
        <v>0</v>
      </c>
      <c r="AA25" s="7"/>
    </row>
    <row r="26" spans="1:27" ht="15.75" hidden="1" outlineLevel="1" thickBot="1" x14ac:dyDescent="0.3">
      <c r="A26" s="11" t="s">
        <v>68</v>
      </c>
      <c r="B26" s="12">
        <v>-6</v>
      </c>
      <c r="C26" s="11"/>
      <c r="D26" s="12">
        <v>0</v>
      </c>
      <c r="E26" s="12">
        <v>0</v>
      </c>
      <c r="F26" s="12">
        <v>0</v>
      </c>
      <c r="G26" s="13"/>
      <c r="H26" s="11"/>
      <c r="I26" s="12">
        <v>0</v>
      </c>
      <c r="J26" s="12">
        <v>0</v>
      </c>
      <c r="K26" s="12">
        <v>0</v>
      </c>
      <c r="L26" s="13"/>
      <c r="M26" s="11">
        <v>0</v>
      </c>
      <c r="N26" s="12">
        <v>0</v>
      </c>
      <c r="O26" s="12">
        <v>0</v>
      </c>
      <c r="P26" s="12">
        <v>0</v>
      </c>
      <c r="Q26" s="13">
        <v>1</v>
      </c>
      <c r="R26" s="11">
        <v>0</v>
      </c>
      <c r="S26" s="12">
        <v>0</v>
      </c>
      <c r="T26" s="12">
        <v>0</v>
      </c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>
        <v>1</v>
      </c>
      <c r="AA26" s="13"/>
    </row>
    <row r="27" spans="1:27" ht="15.75" collapsed="1" thickBot="1" x14ac:dyDescent="0.3">
      <c r="C27" s="14">
        <f>(C21*$B21)+(C22*$B22)+(C23*$B23)+(C24*$B24)+(C25*$B25)+(C26*$B26)</f>
        <v>0</v>
      </c>
      <c r="D27" s="14">
        <f t="shared" ref="D27:AA27" si="2">(D21*$B21)+(D22*$B22)+(D23*$B23)+(D24*$B24)+(D25*$B25)+(D26*$B26)</f>
        <v>-3</v>
      </c>
      <c r="E27" s="14">
        <f t="shared" si="2"/>
        <v>12</v>
      </c>
      <c r="F27" s="14">
        <f t="shared" si="2"/>
        <v>17</v>
      </c>
      <c r="G27" s="14">
        <f t="shared" si="2"/>
        <v>0</v>
      </c>
      <c r="H27" s="14">
        <f t="shared" si="2"/>
        <v>0</v>
      </c>
      <c r="I27" s="14">
        <f t="shared" si="2"/>
        <v>15</v>
      </c>
      <c r="J27" s="14">
        <f t="shared" si="2"/>
        <v>17</v>
      </c>
      <c r="K27" s="14">
        <f t="shared" si="2"/>
        <v>18</v>
      </c>
      <c r="L27" s="14">
        <f t="shared" si="2"/>
        <v>0</v>
      </c>
      <c r="M27" s="14">
        <f t="shared" si="2"/>
        <v>5</v>
      </c>
      <c r="N27" s="14">
        <f t="shared" si="2"/>
        <v>17</v>
      </c>
      <c r="O27" s="14">
        <f t="shared" si="2"/>
        <v>18</v>
      </c>
      <c r="P27" s="14">
        <f t="shared" si="2"/>
        <v>14</v>
      </c>
      <c r="Q27" s="15">
        <f t="shared" si="2"/>
        <v>14</v>
      </c>
      <c r="R27" s="14">
        <f t="shared" si="2"/>
        <v>15</v>
      </c>
      <c r="S27" s="14">
        <f t="shared" si="2"/>
        <v>10</v>
      </c>
      <c r="T27" s="14">
        <f t="shared" si="2"/>
        <v>11</v>
      </c>
      <c r="U27" s="14">
        <f t="shared" si="2"/>
        <v>20</v>
      </c>
      <c r="V27" s="15">
        <f t="shared" si="2"/>
        <v>25</v>
      </c>
      <c r="W27" s="14">
        <f t="shared" si="2"/>
        <v>5</v>
      </c>
      <c r="X27" s="14">
        <f t="shared" si="2"/>
        <v>15</v>
      </c>
      <c r="Y27" s="14">
        <f t="shared" si="2"/>
        <v>1</v>
      </c>
      <c r="Z27" s="14">
        <f t="shared" si="2"/>
        <v>24</v>
      </c>
      <c r="AA27" s="15">
        <f t="shared" si="2"/>
        <v>0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/>
      <c r="D29">
        <v>0</v>
      </c>
      <c r="E29">
        <v>0</v>
      </c>
      <c r="F29">
        <v>0</v>
      </c>
      <c r="G29" s="7"/>
      <c r="H29" s="6"/>
      <c r="I29">
        <v>0</v>
      </c>
      <c r="J29">
        <v>0</v>
      </c>
      <c r="K29">
        <v>0</v>
      </c>
      <c r="L29" s="7"/>
      <c r="M29" s="6">
        <v>0</v>
      </c>
      <c r="N29">
        <v>0</v>
      </c>
      <c r="O29">
        <v>0</v>
      </c>
      <c r="P29">
        <v>0</v>
      </c>
      <c r="Q29" s="7">
        <v>0</v>
      </c>
      <c r="R29" s="6">
        <v>0</v>
      </c>
      <c r="S29">
        <v>0</v>
      </c>
      <c r="T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Z29">
        <v>0</v>
      </c>
      <c r="AA29" s="7"/>
    </row>
    <row r="30" spans="1:27" outlineLevel="1" x14ac:dyDescent="0.25">
      <c r="A30" s="6" t="s">
        <v>64</v>
      </c>
      <c r="B30">
        <v>7</v>
      </c>
      <c r="C30" s="6"/>
      <c r="D30">
        <v>0</v>
      </c>
      <c r="E30">
        <v>1</v>
      </c>
      <c r="F30">
        <v>0</v>
      </c>
      <c r="G30" s="7"/>
      <c r="H30" s="6"/>
      <c r="I30">
        <v>0</v>
      </c>
      <c r="J30">
        <v>1</v>
      </c>
      <c r="K30">
        <v>0</v>
      </c>
      <c r="L30" s="7"/>
      <c r="M30" s="6">
        <v>0</v>
      </c>
      <c r="N30">
        <v>0</v>
      </c>
      <c r="O30">
        <v>0</v>
      </c>
      <c r="P30">
        <v>0</v>
      </c>
      <c r="Q30" s="7">
        <v>0</v>
      </c>
      <c r="R30" s="6">
        <v>0</v>
      </c>
      <c r="S30">
        <v>1</v>
      </c>
      <c r="T30">
        <v>0</v>
      </c>
      <c r="U30">
        <v>1</v>
      </c>
      <c r="V30" s="7">
        <v>0</v>
      </c>
      <c r="W30" s="6">
        <v>0</v>
      </c>
      <c r="X30">
        <v>1</v>
      </c>
      <c r="Y30">
        <v>1</v>
      </c>
      <c r="Z30">
        <v>0</v>
      </c>
      <c r="AA30" s="7"/>
    </row>
    <row r="31" spans="1:27" outlineLevel="1" x14ac:dyDescent="0.25">
      <c r="A31" s="6" t="s">
        <v>65</v>
      </c>
      <c r="B31">
        <v>3</v>
      </c>
      <c r="C31" s="6"/>
      <c r="D31">
        <v>7</v>
      </c>
      <c r="E31">
        <v>5</v>
      </c>
      <c r="F31">
        <v>9</v>
      </c>
      <c r="G31" s="7"/>
      <c r="H31" s="6"/>
      <c r="I31">
        <v>7</v>
      </c>
      <c r="J31">
        <v>5</v>
      </c>
      <c r="K31">
        <v>4</v>
      </c>
      <c r="L31" s="7"/>
      <c r="M31" s="6">
        <v>8</v>
      </c>
      <c r="N31">
        <v>7</v>
      </c>
      <c r="O31">
        <v>5</v>
      </c>
      <c r="P31">
        <v>5</v>
      </c>
      <c r="Q31" s="7">
        <v>8</v>
      </c>
      <c r="R31" s="6">
        <v>8</v>
      </c>
      <c r="S31">
        <v>7</v>
      </c>
      <c r="T31">
        <v>5</v>
      </c>
      <c r="U31">
        <v>8</v>
      </c>
      <c r="V31" s="7">
        <v>7</v>
      </c>
      <c r="W31" s="6">
        <v>5</v>
      </c>
      <c r="X31">
        <v>6</v>
      </c>
      <c r="Y31">
        <v>5</v>
      </c>
      <c r="Z31">
        <v>6</v>
      </c>
      <c r="AA31" s="7"/>
    </row>
    <row r="32" spans="1:27" outlineLevel="1" x14ac:dyDescent="0.25">
      <c r="A32" s="6" t="s">
        <v>66</v>
      </c>
      <c r="B32">
        <v>-2</v>
      </c>
      <c r="C32" s="6"/>
      <c r="D32">
        <v>1</v>
      </c>
      <c r="E32">
        <v>2</v>
      </c>
      <c r="F32">
        <v>2</v>
      </c>
      <c r="G32" s="7"/>
      <c r="H32" s="6"/>
      <c r="I32">
        <v>0</v>
      </c>
      <c r="J32">
        <v>1</v>
      </c>
      <c r="K32">
        <v>2</v>
      </c>
      <c r="L32" s="7"/>
      <c r="M32" s="6">
        <v>0</v>
      </c>
      <c r="N32">
        <v>0</v>
      </c>
      <c r="O32">
        <v>1</v>
      </c>
      <c r="P32">
        <v>0</v>
      </c>
      <c r="Q32" s="7">
        <v>0</v>
      </c>
      <c r="R32" s="6">
        <v>0</v>
      </c>
      <c r="S32">
        <v>1</v>
      </c>
      <c r="T32">
        <v>1</v>
      </c>
      <c r="U32">
        <v>1</v>
      </c>
      <c r="V32" s="7">
        <v>2</v>
      </c>
      <c r="W32" s="6">
        <v>1</v>
      </c>
      <c r="X32">
        <v>2</v>
      </c>
      <c r="Y32">
        <v>1</v>
      </c>
      <c r="Z32">
        <v>0</v>
      </c>
      <c r="AA32" s="7"/>
    </row>
    <row r="33" spans="1:27" outlineLevel="1" x14ac:dyDescent="0.25">
      <c r="A33" s="6" t="s">
        <v>67</v>
      </c>
      <c r="B33">
        <v>-4</v>
      </c>
      <c r="C33" s="6"/>
      <c r="D33">
        <v>1</v>
      </c>
      <c r="E33">
        <v>0</v>
      </c>
      <c r="F33">
        <v>0</v>
      </c>
      <c r="G33" s="7"/>
      <c r="H33" s="6"/>
      <c r="I33">
        <v>0</v>
      </c>
      <c r="J33">
        <v>0</v>
      </c>
      <c r="K33">
        <v>0</v>
      </c>
      <c r="L33" s="7"/>
      <c r="M33" s="6">
        <v>0</v>
      </c>
      <c r="N33">
        <v>0</v>
      </c>
      <c r="O33">
        <v>0</v>
      </c>
      <c r="P33">
        <v>0</v>
      </c>
      <c r="Q33" s="7">
        <v>0</v>
      </c>
      <c r="R33" s="6">
        <v>0</v>
      </c>
      <c r="S33">
        <v>0</v>
      </c>
      <c r="T33">
        <v>1</v>
      </c>
      <c r="U33">
        <v>0</v>
      </c>
      <c r="V33" s="7">
        <v>0</v>
      </c>
      <c r="W33" s="6">
        <v>0</v>
      </c>
      <c r="X33">
        <v>1</v>
      </c>
      <c r="Y33">
        <v>0</v>
      </c>
      <c r="Z33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/>
      <c r="D34" s="12">
        <v>0</v>
      </c>
      <c r="E34" s="12">
        <v>0</v>
      </c>
      <c r="F34" s="12">
        <v>0</v>
      </c>
      <c r="G34" s="13"/>
      <c r="H34" s="11"/>
      <c r="I34" s="12">
        <v>0</v>
      </c>
      <c r="J34" s="12">
        <v>0</v>
      </c>
      <c r="K34" s="12">
        <v>0</v>
      </c>
      <c r="L34" s="13"/>
      <c r="M34" s="11">
        <v>0</v>
      </c>
      <c r="N34" s="12">
        <v>0</v>
      </c>
      <c r="O34" s="12">
        <v>0</v>
      </c>
      <c r="P34" s="12">
        <v>0</v>
      </c>
      <c r="Q34" s="13">
        <v>0</v>
      </c>
      <c r="R34" s="11">
        <v>0</v>
      </c>
      <c r="S34" s="12">
        <v>0</v>
      </c>
      <c r="T34" s="12">
        <v>0</v>
      </c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>
        <v>0</v>
      </c>
      <c r="AA34" s="13"/>
    </row>
    <row r="35" spans="1:27" ht="15.75" thickBot="1" x14ac:dyDescent="0.3">
      <c r="C35" s="14">
        <f>(C29*$B29)+(C30*$B30)+(C31*$B31)+(C32*$B32)+(C33*$B33)+(C34*$B34)</f>
        <v>0</v>
      </c>
      <c r="D35" s="14">
        <f t="shared" ref="D35:AA35" si="3">(D29*$B29)+(D30*$B30)+(D31*$B31)+(D32*$B32)+(D33*$B33)+(D34*$B34)</f>
        <v>15</v>
      </c>
      <c r="E35" s="14">
        <f t="shared" si="3"/>
        <v>18</v>
      </c>
      <c r="F35" s="14">
        <f t="shared" si="3"/>
        <v>23</v>
      </c>
      <c r="G35" s="14">
        <f t="shared" si="3"/>
        <v>0</v>
      </c>
      <c r="H35" s="14">
        <f t="shared" si="3"/>
        <v>0</v>
      </c>
      <c r="I35" s="14">
        <f t="shared" si="3"/>
        <v>21</v>
      </c>
      <c r="J35" s="14">
        <f t="shared" si="3"/>
        <v>20</v>
      </c>
      <c r="K35" s="14">
        <f t="shared" si="3"/>
        <v>8</v>
      </c>
      <c r="L35" s="14">
        <f t="shared" si="3"/>
        <v>0</v>
      </c>
      <c r="M35" s="14">
        <f t="shared" si="3"/>
        <v>24</v>
      </c>
      <c r="N35" s="14">
        <f t="shared" si="3"/>
        <v>21</v>
      </c>
      <c r="O35" s="14">
        <f t="shared" si="3"/>
        <v>13</v>
      </c>
      <c r="P35" s="14">
        <f t="shared" si="3"/>
        <v>15</v>
      </c>
      <c r="Q35" s="15">
        <f t="shared" si="3"/>
        <v>24</v>
      </c>
      <c r="R35" s="14">
        <f t="shared" si="3"/>
        <v>24</v>
      </c>
      <c r="S35" s="14">
        <f t="shared" si="3"/>
        <v>26</v>
      </c>
      <c r="T35" s="14">
        <f t="shared" si="3"/>
        <v>9</v>
      </c>
      <c r="U35" s="14">
        <f t="shared" si="3"/>
        <v>29</v>
      </c>
      <c r="V35" s="15">
        <f t="shared" si="3"/>
        <v>17</v>
      </c>
      <c r="W35" s="14">
        <f t="shared" si="3"/>
        <v>13</v>
      </c>
      <c r="X35" s="14">
        <f t="shared" si="3"/>
        <v>17</v>
      </c>
      <c r="Y35" s="14">
        <f t="shared" si="3"/>
        <v>20</v>
      </c>
      <c r="Z35" s="14">
        <f t="shared" si="3"/>
        <v>18</v>
      </c>
      <c r="AA35" s="15">
        <f t="shared" si="3"/>
        <v>0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U37">
        <v>1</v>
      </c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Z38">
        <v>1</v>
      </c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I40">
        <v>1</v>
      </c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>
        <v>1</v>
      </c>
      <c r="S46">
        <v>1</v>
      </c>
      <c r="V46" s="7">
        <v>1</v>
      </c>
      <c r="W46" s="6"/>
      <c r="AA46" s="7"/>
    </row>
    <row r="47" spans="1:27" outlineLevel="1" x14ac:dyDescent="0.25">
      <c r="A47" s="6" t="s">
        <v>83</v>
      </c>
      <c r="B47">
        <v>10</v>
      </c>
      <c r="C47" s="6"/>
      <c r="F47">
        <v>1</v>
      </c>
      <c r="G47" s="7"/>
      <c r="H47" s="6"/>
      <c r="L47" s="7"/>
      <c r="M47" s="6"/>
      <c r="N47">
        <v>1</v>
      </c>
      <c r="P47">
        <v>1</v>
      </c>
      <c r="Q47" s="7"/>
      <c r="R47" s="6"/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L48" s="7"/>
      <c r="M48" s="6"/>
      <c r="Q48" s="7"/>
      <c r="R48" s="6"/>
      <c r="V48" s="7"/>
      <c r="W48" s="6"/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J49">
        <v>1</v>
      </c>
      <c r="L49" s="7"/>
      <c r="M49" s="6"/>
      <c r="Q49" s="7"/>
      <c r="R49" s="6"/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Q50" s="7"/>
      <c r="R50" s="6"/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K51">
        <v>1</v>
      </c>
      <c r="L51" s="7"/>
      <c r="M51" s="6"/>
      <c r="O51">
        <v>1</v>
      </c>
      <c r="Q51" s="7">
        <v>1</v>
      </c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>
        <v>1</v>
      </c>
      <c r="E52" s="12">
        <v>1</v>
      </c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>
        <v>1</v>
      </c>
      <c r="U52" s="12"/>
      <c r="V52" s="13"/>
      <c r="W52" s="11"/>
      <c r="X52" s="12">
        <v>1</v>
      </c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>
        <v>1</v>
      </c>
      <c r="G55" s="7">
        <v>1</v>
      </c>
      <c r="H55" s="6">
        <v>1</v>
      </c>
      <c r="L55" s="7">
        <v>1</v>
      </c>
      <c r="Q55" s="7"/>
      <c r="V55" s="7"/>
      <c r="AA55" s="7">
        <v>1</v>
      </c>
    </row>
    <row r="56" spans="1:27" outlineLevel="1" x14ac:dyDescent="0.25">
      <c r="A56" s="6" t="s">
        <v>115</v>
      </c>
      <c r="B56">
        <v>5</v>
      </c>
      <c r="C56" s="6"/>
      <c r="G56" s="7"/>
      <c r="H56" s="6"/>
      <c r="I56">
        <v>1</v>
      </c>
      <c r="K56">
        <v>1</v>
      </c>
      <c r="L56" s="7"/>
      <c r="M56">
        <v>2</v>
      </c>
      <c r="N56">
        <v>1</v>
      </c>
      <c r="O56">
        <v>1</v>
      </c>
      <c r="P56">
        <v>2</v>
      </c>
      <c r="Q56" s="7"/>
      <c r="R56">
        <v>2</v>
      </c>
      <c r="T56">
        <v>1</v>
      </c>
      <c r="V56" s="7">
        <v>1</v>
      </c>
      <c r="X56">
        <v>1</v>
      </c>
      <c r="Z56">
        <v>2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>
        <v>1</v>
      </c>
      <c r="J57" s="12"/>
      <c r="K57" s="12"/>
      <c r="L57" s="13"/>
      <c r="M57" s="12"/>
      <c r="N57" s="12"/>
      <c r="O57" s="12"/>
      <c r="P57" s="12">
        <v>1</v>
      </c>
      <c r="Q57" s="13"/>
      <c r="R57" s="12"/>
      <c r="S57" s="12"/>
      <c r="T57" s="12"/>
      <c r="U57" s="12">
        <v>1</v>
      </c>
      <c r="V57" s="13">
        <v>1</v>
      </c>
      <c r="W57" s="12"/>
      <c r="X57" s="12"/>
      <c r="Y57" s="12"/>
      <c r="Z57" s="12">
        <v>1</v>
      </c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11</v>
      </c>
      <c r="D59" s="16" cm="1">
        <f t="array" ref="D59">SUM(D11,D19,D27,D35,(D37:D52)*($B37:$B52),((D55*$B55)+(D56*$B56)+(D57*$B57)))</f>
        <v>65</v>
      </c>
      <c r="E59" s="16" cm="1">
        <f t="array" ref="E59">SUM(E11,E19,E27,E35,(E37:E52)*($B37:$B52),((E55*$B55)+(E56*$B56)+(E57*$B57)))</f>
        <v>56</v>
      </c>
      <c r="F59" s="16" cm="1">
        <f t="array" ref="F59">SUM(F11,F19,F27,F35,(F37:F52)*($B37:$B52),((F55*$B55)+(F56*$B56)+(F57*$B57)))</f>
        <v>74</v>
      </c>
      <c r="G59" s="16" cm="1">
        <f t="array" ref="G59">SUM(G11,G19,G27,G35,(G37:G52)*($B37:$B52),((G55*$B55)+(G56*$B56)+(G57*$B57)))</f>
        <v>-2</v>
      </c>
      <c r="H59" s="16" cm="1">
        <f t="array" ref="H59">SUM(H11,H19,H27,H35,(H37:H52)*($B37:$B52),((H55*$B55)+(H56*$B56)+(H57*$B57)))</f>
        <v>0</v>
      </c>
      <c r="I59" s="16" cm="1">
        <f t="array" ref="I59">SUM(I11,I19,I27,I35,(I37:I52)*($B37:$B52),((I55*$B55)+(I56*$B56)+(I57*$B57)))</f>
        <v>116</v>
      </c>
      <c r="J59" s="16" cm="1">
        <f t="array" ref="J59">SUM(J11,J19,J27,J35,(J37:J52)*($B37:$B52),((J55*$B55)+(J56*$B56)+(J57*$B57)))</f>
        <v>62</v>
      </c>
      <c r="K59" s="16" cm="1">
        <f t="array" ref="K59">SUM(K11,K19,K27,K35,(K37:K52)*($B37:$B52),((K55*$B55)+(K56*$B56)+(K57*$B57)))</f>
        <v>60</v>
      </c>
      <c r="L59" s="16" cm="1">
        <f t="array" ref="L59">SUM(L11,L19,L27,L35,(L37:L52)*($B37:$B52),((L55*$B55)+(L56*$B56)+(L57*$B57)))</f>
        <v>-4</v>
      </c>
      <c r="M59" s="16" cm="1">
        <f t="array" ref="M59">SUM(M11,M19,M27,M35,(M37:M52)*($B37:$B52),((M55*$B55)+(M56*$B56)+(M57*$B57)))</f>
        <v>59</v>
      </c>
      <c r="N59" s="16" cm="1">
        <f t="array" ref="N59">SUM(N11,N19,N27,N35,(N37:N52)*($B37:$B52),((N55*$B55)+(N56*$B56)+(N57*$B57)))</f>
        <v>75</v>
      </c>
      <c r="O59" s="16" cm="1">
        <f t="array" ref="O59">SUM(O11,O19,O27,O35,(O37:O52)*($B37:$B52),((O55*$B55)+(O56*$B56)+(O57*$B57)))</f>
        <v>62</v>
      </c>
      <c r="P59" s="16" cm="1">
        <f t="array" ref="P59">SUM(P11,P19,P27,P35,(P37:P52)*($B37:$B52),((P55*$B55)+(P56*$B56)+(P57*$B57)))</f>
        <v>87</v>
      </c>
      <c r="Q59" s="16" cm="1">
        <f t="array" ref="Q59">SUM(Q11,Q19,Q27,Q35,(Q37:Q52)*($B37:$B52),((Q55*$B55)+(Q56*$B56)+(Q57*$B57)))</f>
        <v>59</v>
      </c>
      <c r="R59" s="16" cm="1">
        <f t="array" ref="R59">SUM(R11,R19,R27,R35,(R37:R52)*($B37:$B52),((R55*$B55)+(R56*$B56)+(R57*$B57)))</f>
        <v>95</v>
      </c>
      <c r="S59" s="16" cm="1">
        <f t="array" ref="S59">SUM(S11,S19,S27,S35,(S37:S52)*($B37:$B52),((S55*$B55)+(S56*$B56)+(S57*$B57)))</f>
        <v>77</v>
      </c>
      <c r="T59" s="16" cm="1">
        <f t="array" ref="T59">SUM(T11,T19,T27,T35,(T37:T52)*($B37:$B52),((T55*$B55)+(T56*$B56)+(T57*$B57)))</f>
        <v>57</v>
      </c>
      <c r="U59" s="16" cm="1">
        <f t="array" ref="U59">SUM(U11,U19,U27,U35,(U37:U52)*($B37:$B52),((U55*$B55)+(U56*$B56)+(U57*$B57)))</f>
        <v>147</v>
      </c>
      <c r="V59" s="16" cm="1">
        <f t="array" ref="V59">SUM(V11,V19,V27,V35,(V37:V52)*($B37:$B52),((V55*$B55)+(V56*$B56)+(V57*$B57)))</f>
        <v>89</v>
      </c>
      <c r="W59" s="16" cm="1">
        <f t="array" ref="W59">SUM(W11,W19,W27,W35,(W37:W52)*($B37:$B52),((W55*$B55)+(W56*$B56)+(W57*$B57)))</f>
        <v>47</v>
      </c>
      <c r="X59" s="16" cm="1">
        <f t="array" ref="X59">SUM(X11,X19,X27,X35,(X37:X52)*($B37:$B52),((X55*$B55)+(X56*$B56)+(X57*$B57)))</f>
        <v>62</v>
      </c>
      <c r="Y59" s="16" cm="1">
        <f t="array" ref="Y59">SUM(Y11,Y19,Y27,Y35,(Y37:Y52)*($B37:$B52),((Y55*$B55)+(Y56*$B56)+(Y57*$B57)))</f>
        <v>40</v>
      </c>
      <c r="Z59" s="16" cm="1">
        <f t="array" ref="Z59">SUM(Z11,Z19,Z27,Z35,(Z37:Z52)*($B37:$B52),((Z55*$B55)+(Z56*$B56)+(Z57*$B57)))</f>
        <v>137</v>
      </c>
      <c r="AA59" s="16" cm="1">
        <f t="array" ref="AA59">SUM(AA11,AA19,AA27,AA35,(AA37:AA52)*($B37:$B52),((AA55*$B55)+(AA56*$B56)+(AA57*$B57)))</f>
        <v>6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204</v>
      </c>
      <c r="D61" s="18"/>
      <c r="E61" s="18"/>
      <c r="F61" s="18"/>
      <c r="G61" s="19"/>
      <c r="H61" s="17">
        <f>SUM(H59:L59)</f>
        <v>234</v>
      </c>
      <c r="I61" s="18"/>
      <c r="J61" s="18"/>
      <c r="K61" s="18"/>
      <c r="L61" s="19"/>
      <c r="M61" s="17">
        <f>SUM(M59:Q59)</f>
        <v>342</v>
      </c>
      <c r="N61" s="18"/>
      <c r="O61" s="18"/>
      <c r="P61" s="18"/>
      <c r="Q61" s="19"/>
      <c r="R61" s="17">
        <f>SUM(R59:V59)</f>
        <v>465</v>
      </c>
      <c r="S61" s="18"/>
      <c r="T61" s="18"/>
      <c r="U61" s="18"/>
      <c r="V61" s="19"/>
      <c r="W61" s="17">
        <f>SUM(W59:AA59)</f>
        <v>292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AD367-7A79-4ADA-8888-E05D59537EA6}">
  <sheetPr codeName="Sheet10">
    <tabColor theme="0"/>
  </sheetPr>
  <dimension ref="A1:AA61"/>
  <sheetViews>
    <sheetView zoomScale="70" zoomScaleNormal="70" workbookViewId="0">
      <selection activeCell="P57" sqref="P57"/>
    </sheetView>
  </sheetViews>
  <sheetFormatPr defaultRowHeight="15" outlineLevelRow="1" x14ac:dyDescent="0.25"/>
  <sheetData>
    <row r="1" spans="1:27" ht="15.75" thickBot="1" x14ac:dyDescent="0.3">
      <c r="A1" t="s">
        <v>153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154</v>
      </c>
      <c r="D2" s="4" t="s">
        <v>155</v>
      </c>
      <c r="E2" s="4" t="s">
        <v>109</v>
      </c>
      <c r="F2" s="4" t="s">
        <v>130</v>
      </c>
      <c r="G2" s="5" t="s">
        <v>156</v>
      </c>
      <c r="H2" s="3" t="s">
        <v>157</v>
      </c>
      <c r="I2" s="4" t="s">
        <v>162</v>
      </c>
      <c r="J2" s="4" t="s">
        <v>163</v>
      </c>
      <c r="K2" s="4" t="s">
        <v>106</v>
      </c>
      <c r="L2" t="s">
        <v>127</v>
      </c>
      <c r="M2" t="s">
        <v>160</v>
      </c>
      <c r="N2" s="4" t="s">
        <v>53</v>
      </c>
      <c r="O2" s="4" t="s">
        <v>142</v>
      </c>
      <c r="P2" s="4" t="s">
        <v>165</v>
      </c>
      <c r="Q2" s="5" t="s">
        <v>148</v>
      </c>
      <c r="R2" s="3" t="s">
        <v>158</v>
      </c>
      <c r="S2" s="4" t="s">
        <v>161</v>
      </c>
      <c r="T2" s="4" t="s">
        <v>164</v>
      </c>
      <c r="U2" s="4" t="s">
        <v>147</v>
      </c>
      <c r="V2" s="5" t="s">
        <v>166</v>
      </c>
      <c r="W2" s="3" t="s">
        <v>159</v>
      </c>
      <c r="X2" s="4" t="s">
        <v>52</v>
      </c>
      <c r="Y2" s="4" t="s">
        <v>108</v>
      </c>
      <c r="Z2" s="4" t="s">
        <v>96</v>
      </c>
      <c r="AA2" s="5" t="s">
        <v>167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0</v>
      </c>
      <c r="H6" s="6">
        <v>1</v>
      </c>
      <c r="I6">
        <v>0</v>
      </c>
      <c r="J6">
        <v>0</v>
      </c>
      <c r="K6">
        <v>0</v>
      </c>
      <c r="L6" s="7">
        <v>0</v>
      </c>
      <c r="M6" s="6">
        <v>1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0</v>
      </c>
      <c r="Z6">
        <v>0</v>
      </c>
      <c r="AA6" s="7">
        <v>0</v>
      </c>
    </row>
    <row r="7" spans="1:27" hidden="1" outlineLevel="1" x14ac:dyDescent="0.25">
      <c r="A7" s="6" t="s">
        <v>65</v>
      </c>
      <c r="B7">
        <v>3</v>
      </c>
      <c r="C7" s="6">
        <v>4</v>
      </c>
      <c r="D7">
        <v>2</v>
      </c>
      <c r="E7">
        <v>6</v>
      </c>
      <c r="F7">
        <v>6</v>
      </c>
      <c r="G7" s="7">
        <v>2</v>
      </c>
      <c r="H7" s="6">
        <v>2</v>
      </c>
      <c r="I7">
        <v>4</v>
      </c>
      <c r="J7">
        <v>2</v>
      </c>
      <c r="K7">
        <v>6</v>
      </c>
      <c r="L7" s="7">
        <v>6</v>
      </c>
      <c r="M7" s="6">
        <v>2</v>
      </c>
      <c r="N7">
        <v>4</v>
      </c>
      <c r="O7">
        <v>0</v>
      </c>
      <c r="P7">
        <v>2</v>
      </c>
      <c r="Q7" s="7">
        <v>2</v>
      </c>
      <c r="R7" s="6">
        <v>6</v>
      </c>
      <c r="S7">
        <v>1</v>
      </c>
      <c r="T7">
        <v>6</v>
      </c>
      <c r="U7">
        <v>5</v>
      </c>
      <c r="V7" s="7">
        <v>1</v>
      </c>
      <c r="W7" s="6">
        <v>6</v>
      </c>
      <c r="X7">
        <v>5</v>
      </c>
      <c r="Y7">
        <v>4</v>
      </c>
      <c r="Z7">
        <v>0</v>
      </c>
      <c r="AA7" s="7">
        <v>4</v>
      </c>
    </row>
    <row r="8" spans="1:27" hidden="1" outlineLevel="1" x14ac:dyDescent="0.25">
      <c r="A8" s="6" t="s">
        <v>66</v>
      </c>
      <c r="B8">
        <v>-2</v>
      </c>
      <c r="C8" s="6">
        <v>1</v>
      </c>
      <c r="D8">
        <v>2</v>
      </c>
      <c r="E8">
        <v>1</v>
      </c>
      <c r="F8">
        <v>3</v>
      </c>
      <c r="G8" s="7">
        <v>1</v>
      </c>
      <c r="H8" s="6">
        <v>3</v>
      </c>
      <c r="I8">
        <v>1</v>
      </c>
      <c r="J8">
        <v>6</v>
      </c>
      <c r="K8">
        <v>2</v>
      </c>
      <c r="L8" s="7">
        <v>1</v>
      </c>
      <c r="M8" s="6">
        <v>1</v>
      </c>
      <c r="N8">
        <v>1</v>
      </c>
      <c r="O8">
        <v>3</v>
      </c>
      <c r="P8">
        <v>1</v>
      </c>
      <c r="Q8" s="7">
        <v>2</v>
      </c>
      <c r="R8" s="6">
        <v>3</v>
      </c>
      <c r="S8">
        <v>2</v>
      </c>
      <c r="T8">
        <v>1</v>
      </c>
      <c r="U8">
        <v>3</v>
      </c>
      <c r="V8" s="7">
        <v>4</v>
      </c>
      <c r="W8" s="6">
        <v>0</v>
      </c>
      <c r="X8">
        <v>2</v>
      </c>
      <c r="Y8">
        <v>2</v>
      </c>
      <c r="Z8">
        <v>3</v>
      </c>
      <c r="AA8" s="7">
        <v>1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0</v>
      </c>
      <c r="G9" s="7">
        <v>1</v>
      </c>
      <c r="H9" s="6">
        <v>0</v>
      </c>
      <c r="I9">
        <v>0</v>
      </c>
      <c r="J9">
        <v>0</v>
      </c>
      <c r="K9">
        <v>1</v>
      </c>
      <c r="L9" s="7">
        <v>0</v>
      </c>
      <c r="M9" s="6">
        <v>1</v>
      </c>
      <c r="N9">
        <v>0</v>
      </c>
      <c r="O9">
        <v>0</v>
      </c>
      <c r="P9">
        <v>0</v>
      </c>
      <c r="Q9" s="7">
        <v>1</v>
      </c>
      <c r="R9" s="6">
        <v>0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10</v>
      </c>
      <c r="D11" s="14">
        <f t="shared" ref="D11:AA11" si="0">(D5*$B5)+(D6*$B6)+(D7*$B7)+(D8*$B8)+(D9*$B9)+(D10*$B10)</f>
        <v>2</v>
      </c>
      <c r="E11" s="14">
        <f t="shared" si="0"/>
        <v>16</v>
      </c>
      <c r="F11" s="14">
        <f t="shared" si="0"/>
        <v>12</v>
      </c>
      <c r="G11" s="14">
        <f t="shared" si="0"/>
        <v>0</v>
      </c>
      <c r="H11" s="14">
        <f t="shared" si="0"/>
        <v>7</v>
      </c>
      <c r="I11" s="14">
        <f t="shared" si="0"/>
        <v>10</v>
      </c>
      <c r="J11" s="14">
        <f t="shared" si="0"/>
        <v>-6</v>
      </c>
      <c r="K11" s="14">
        <f t="shared" si="0"/>
        <v>10</v>
      </c>
      <c r="L11" s="14">
        <f t="shared" si="0"/>
        <v>16</v>
      </c>
      <c r="M11" s="14">
        <f t="shared" si="0"/>
        <v>7</v>
      </c>
      <c r="N11" s="14">
        <f t="shared" si="0"/>
        <v>10</v>
      </c>
      <c r="O11" s="14">
        <f t="shared" si="0"/>
        <v>-6</v>
      </c>
      <c r="P11" s="14">
        <f t="shared" si="0"/>
        <v>4</v>
      </c>
      <c r="Q11" s="15">
        <f t="shared" si="0"/>
        <v>-2</v>
      </c>
      <c r="R11" s="14">
        <f t="shared" si="0"/>
        <v>12</v>
      </c>
      <c r="S11" s="14">
        <f t="shared" si="0"/>
        <v>-1</v>
      </c>
      <c r="T11" s="14">
        <f t="shared" si="0"/>
        <v>16</v>
      </c>
      <c r="U11" s="14">
        <f t="shared" si="0"/>
        <v>9</v>
      </c>
      <c r="V11" s="15">
        <f t="shared" si="0"/>
        <v>-5</v>
      </c>
      <c r="W11" s="14">
        <f t="shared" si="0"/>
        <v>18</v>
      </c>
      <c r="X11" s="14">
        <f t="shared" si="0"/>
        <v>11</v>
      </c>
      <c r="Y11" s="14">
        <f t="shared" si="0"/>
        <v>8</v>
      </c>
      <c r="Z11" s="14">
        <f t="shared" si="0"/>
        <v>-6</v>
      </c>
      <c r="AA11" s="15">
        <f t="shared" si="0"/>
        <v>10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0</v>
      </c>
      <c r="D14">
        <v>0</v>
      </c>
      <c r="E14">
        <v>0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0</v>
      </c>
      <c r="N14">
        <v>0</v>
      </c>
      <c r="O14">
        <v>0</v>
      </c>
      <c r="P14">
        <v>0</v>
      </c>
      <c r="Q14" s="7">
        <v>0</v>
      </c>
      <c r="R14" s="6">
        <v>0</v>
      </c>
      <c r="S14">
        <v>0</v>
      </c>
      <c r="T14">
        <v>0</v>
      </c>
      <c r="U14">
        <v>0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hidden="1" outlineLevel="1" x14ac:dyDescent="0.25">
      <c r="A15" s="6" t="s">
        <v>65</v>
      </c>
      <c r="B15">
        <v>3</v>
      </c>
      <c r="C15" s="6">
        <v>4</v>
      </c>
      <c r="D15">
        <v>4</v>
      </c>
      <c r="E15">
        <v>4</v>
      </c>
      <c r="F15">
        <v>0</v>
      </c>
      <c r="G15" s="7">
        <v>3</v>
      </c>
      <c r="H15" s="6">
        <v>1</v>
      </c>
      <c r="I15">
        <v>4</v>
      </c>
      <c r="J15">
        <v>1</v>
      </c>
      <c r="K15">
        <v>6</v>
      </c>
      <c r="L15" s="7">
        <v>2</v>
      </c>
      <c r="M15" s="6">
        <v>0</v>
      </c>
      <c r="N15">
        <v>2</v>
      </c>
      <c r="O15">
        <v>3</v>
      </c>
      <c r="P15">
        <v>3</v>
      </c>
      <c r="Q15" s="7">
        <v>1</v>
      </c>
      <c r="R15" s="6">
        <v>4</v>
      </c>
      <c r="S15">
        <v>1</v>
      </c>
      <c r="T15">
        <v>1</v>
      </c>
      <c r="U15">
        <v>2</v>
      </c>
      <c r="V15" s="7">
        <v>4</v>
      </c>
      <c r="W15" s="6">
        <v>3</v>
      </c>
      <c r="X15">
        <v>1</v>
      </c>
      <c r="Y15">
        <v>7</v>
      </c>
      <c r="Z15">
        <v>2</v>
      </c>
      <c r="AA15" s="7">
        <v>1</v>
      </c>
    </row>
    <row r="16" spans="1:27" hidden="1" outlineLevel="1" x14ac:dyDescent="0.25">
      <c r="A16" s="6" t="s">
        <v>66</v>
      </c>
      <c r="B16">
        <v>-2</v>
      </c>
      <c r="C16" s="6">
        <v>3</v>
      </c>
      <c r="D16">
        <v>3</v>
      </c>
      <c r="E16">
        <v>3</v>
      </c>
      <c r="F16">
        <v>3</v>
      </c>
      <c r="G16" s="7">
        <v>1</v>
      </c>
      <c r="H16" s="6">
        <v>3</v>
      </c>
      <c r="I16">
        <v>4</v>
      </c>
      <c r="J16">
        <v>3</v>
      </c>
      <c r="K16">
        <v>2</v>
      </c>
      <c r="L16" s="7">
        <v>3</v>
      </c>
      <c r="M16" s="6">
        <v>3</v>
      </c>
      <c r="N16">
        <v>2</v>
      </c>
      <c r="O16">
        <v>6</v>
      </c>
      <c r="P16">
        <v>5</v>
      </c>
      <c r="Q16" s="7">
        <v>2</v>
      </c>
      <c r="R16" s="6">
        <v>3</v>
      </c>
      <c r="S16">
        <v>4</v>
      </c>
      <c r="T16">
        <v>6</v>
      </c>
      <c r="U16">
        <v>3</v>
      </c>
      <c r="V16" s="7">
        <v>4</v>
      </c>
      <c r="W16" s="6">
        <v>4</v>
      </c>
      <c r="X16">
        <v>4</v>
      </c>
      <c r="Y16">
        <v>2</v>
      </c>
      <c r="Z16">
        <v>2</v>
      </c>
      <c r="AA16" s="7">
        <v>3</v>
      </c>
    </row>
    <row r="17" spans="1:27" hidden="1" outlineLevel="1" x14ac:dyDescent="0.25">
      <c r="A17" s="6" t="s">
        <v>67</v>
      </c>
      <c r="B17">
        <v>-4</v>
      </c>
      <c r="C17" s="6">
        <v>0</v>
      </c>
      <c r="D17">
        <v>2</v>
      </c>
      <c r="E17">
        <v>1</v>
      </c>
      <c r="F17">
        <v>0</v>
      </c>
      <c r="G17" s="7">
        <v>1</v>
      </c>
      <c r="H17" s="6">
        <v>2</v>
      </c>
      <c r="I17">
        <v>0</v>
      </c>
      <c r="J17">
        <v>0</v>
      </c>
      <c r="K17">
        <v>0</v>
      </c>
      <c r="L17" s="7">
        <v>0</v>
      </c>
      <c r="M17" s="6">
        <v>0</v>
      </c>
      <c r="N17">
        <v>0</v>
      </c>
      <c r="O17">
        <v>0</v>
      </c>
      <c r="P17">
        <v>1</v>
      </c>
      <c r="Q17" s="7">
        <v>0</v>
      </c>
      <c r="R17" s="6">
        <v>1</v>
      </c>
      <c r="S17">
        <v>0</v>
      </c>
      <c r="T17">
        <v>1</v>
      </c>
      <c r="U17">
        <v>1</v>
      </c>
      <c r="V17" s="7">
        <v>0</v>
      </c>
      <c r="W17" s="6">
        <v>1</v>
      </c>
      <c r="X17">
        <v>0</v>
      </c>
      <c r="Y17">
        <v>0</v>
      </c>
      <c r="Z17">
        <v>2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1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6</v>
      </c>
      <c r="D19" s="14">
        <f t="shared" ref="D19:AA19" si="1">(D13*$B13)+(D14*$B14)+(D15*$B15)+(D16*$B16)+(D17*$B17)+(D18*$B18)</f>
        <v>-2</v>
      </c>
      <c r="E19" s="14">
        <f t="shared" si="1"/>
        <v>2</v>
      </c>
      <c r="F19" s="14">
        <f t="shared" si="1"/>
        <v>-12</v>
      </c>
      <c r="G19" s="14">
        <f t="shared" si="1"/>
        <v>3</v>
      </c>
      <c r="H19" s="14">
        <f t="shared" si="1"/>
        <v>-11</v>
      </c>
      <c r="I19" s="14">
        <f t="shared" si="1"/>
        <v>4</v>
      </c>
      <c r="J19" s="14">
        <f t="shared" si="1"/>
        <v>-3</v>
      </c>
      <c r="K19" s="14">
        <f t="shared" si="1"/>
        <v>14</v>
      </c>
      <c r="L19" s="14">
        <f t="shared" si="1"/>
        <v>0</v>
      </c>
      <c r="M19" s="14">
        <f t="shared" si="1"/>
        <v>-6</v>
      </c>
      <c r="N19" s="14">
        <f t="shared" si="1"/>
        <v>2</v>
      </c>
      <c r="O19" s="14">
        <f t="shared" si="1"/>
        <v>-3</v>
      </c>
      <c r="P19" s="14">
        <f t="shared" si="1"/>
        <v>-5</v>
      </c>
      <c r="Q19" s="15">
        <f t="shared" si="1"/>
        <v>-1</v>
      </c>
      <c r="R19" s="14">
        <f t="shared" si="1"/>
        <v>2</v>
      </c>
      <c r="S19" s="14">
        <f t="shared" si="1"/>
        <v>-5</v>
      </c>
      <c r="T19" s="14">
        <f t="shared" si="1"/>
        <v>-13</v>
      </c>
      <c r="U19" s="14">
        <f t="shared" si="1"/>
        <v>-4</v>
      </c>
      <c r="V19" s="15">
        <f t="shared" si="1"/>
        <v>4</v>
      </c>
      <c r="W19" s="14">
        <f t="shared" si="1"/>
        <v>-3</v>
      </c>
      <c r="X19" s="14">
        <f t="shared" si="1"/>
        <v>-5</v>
      </c>
      <c r="Y19" s="14">
        <f t="shared" si="1"/>
        <v>17</v>
      </c>
      <c r="Z19" s="14">
        <f t="shared" si="1"/>
        <v>-6</v>
      </c>
      <c r="AA19" s="15">
        <f t="shared" si="1"/>
        <v>-3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>
        <v>0</v>
      </c>
      <c r="H21" s="6">
        <v>0</v>
      </c>
      <c r="I21">
        <v>0</v>
      </c>
      <c r="J21">
        <v>0</v>
      </c>
      <c r="K21">
        <v>0</v>
      </c>
      <c r="L21" s="7">
        <v>0</v>
      </c>
      <c r="M21" s="6">
        <v>0</v>
      </c>
      <c r="N21">
        <v>0</v>
      </c>
      <c r="O21">
        <v>0</v>
      </c>
      <c r="P21">
        <v>0</v>
      </c>
      <c r="Q21" s="7">
        <v>0</v>
      </c>
      <c r="R21" s="6">
        <v>0</v>
      </c>
      <c r="S21">
        <v>0</v>
      </c>
      <c r="T21">
        <v>0</v>
      </c>
      <c r="U21">
        <v>0</v>
      </c>
      <c r="V21" s="7">
        <v>0</v>
      </c>
      <c r="W21" s="6">
        <v>0</v>
      </c>
      <c r="X21">
        <v>0</v>
      </c>
      <c r="Y21">
        <v>0</v>
      </c>
      <c r="Z21">
        <v>0</v>
      </c>
      <c r="AA21" s="7">
        <v>0</v>
      </c>
    </row>
    <row r="22" spans="1:27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>
        <v>0</v>
      </c>
      <c r="H22" s="6">
        <v>0</v>
      </c>
      <c r="I22">
        <v>0</v>
      </c>
      <c r="J22">
        <v>0</v>
      </c>
      <c r="K22">
        <v>0</v>
      </c>
      <c r="L22" s="7">
        <v>0</v>
      </c>
      <c r="M22" s="6">
        <v>1</v>
      </c>
      <c r="N22">
        <v>0</v>
      </c>
      <c r="O22">
        <v>0</v>
      </c>
      <c r="P22">
        <v>0</v>
      </c>
      <c r="Q22" s="7">
        <v>0</v>
      </c>
      <c r="R22" s="6">
        <v>0</v>
      </c>
      <c r="S22">
        <v>0</v>
      </c>
      <c r="T22">
        <v>0</v>
      </c>
      <c r="U22">
        <v>0</v>
      </c>
      <c r="V22" s="7">
        <v>0</v>
      </c>
      <c r="W22" s="6">
        <v>0</v>
      </c>
      <c r="X22">
        <v>0</v>
      </c>
      <c r="Y22">
        <v>0</v>
      </c>
      <c r="Z22">
        <v>0</v>
      </c>
      <c r="AA22" s="7">
        <v>0</v>
      </c>
    </row>
    <row r="23" spans="1:27" outlineLevel="1" x14ac:dyDescent="0.25">
      <c r="A23" s="6" t="s">
        <v>65</v>
      </c>
      <c r="B23">
        <v>3</v>
      </c>
      <c r="C23" s="6">
        <v>1</v>
      </c>
      <c r="D23">
        <v>3</v>
      </c>
      <c r="E23">
        <v>6</v>
      </c>
      <c r="F23">
        <v>7</v>
      </c>
      <c r="G23" s="7">
        <v>8</v>
      </c>
      <c r="H23" s="6">
        <v>3</v>
      </c>
      <c r="I23">
        <v>3</v>
      </c>
      <c r="J23">
        <v>3</v>
      </c>
      <c r="K23">
        <v>5</v>
      </c>
      <c r="L23" s="7">
        <v>5</v>
      </c>
      <c r="M23" s="6">
        <v>3</v>
      </c>
      <c r="N23">
        <v>3</v>
      </c>
      <c r="O23">
        <v>3</v>
      </c>
      <c r="P23">
        <v>4</v>
      </c>
      <c r="Q23" s="7">
        <v>3</v>
      </c>
      <c r="R23" s="6">
        <v>3</v>
      </c>
      <c r="S23">
        <v>5</v>
      </c>
      <c r="T23">
        <v>4</v>
      </c>
      <c r="U23">
        <v>2</v>
      </c>
      <c r="V23" s="7">
        <v>3</v>
      </c>
      <c r="W23" s="6">
        <v>8</v>
      </c>
      <c r="X23">
        <v>5</v>
      </c>
      <c r="Y23">
        <v>4</v>
      </c>
      <c r="Z23">
        <v>2</v>
      </c>
      <c r="AA23" s="7">
        <v>0</v>
      </c>
    </row>
    <row r="24" spans="1:27" outlineLevel="1" x14ac:dyDescent="0.25">
      <c r="A24" s="6" t="s">
        <v>66</v>
      </c>
      <c r="B24">
        <v>-2</v>
      </c>
      <c r="C24" s="6">
        <v>4</v>
      </c>
      <c r="D24">
        <v>2</v>
      </c>
      <c r="E24">
        <v>2</v>
      </c>
      <c r="F24">
        <v>2</v>
      </c>
      <c r="G24" s="7">
        <v>2</v>
      </c>
      <c r="H24" s="6">
        <v>1</v>
      </c>
      <c r="I24">
        <v>6</v>
      </c>
      <c r="J24">
        <v>3</v>
      </c>
      <c r="K24">
        <v>2</v>
      </c>
      <c r="L24" s="7">
        <v>3</v>
      </c>
      <c r="M24" s="6">
        <v>2</v>
      </c>
      <c r="N24">
        <v>2</v>
      </c>
      <c r="O24">
        <v>2</v>
      </c>
      <c r="P24">
        <v>3</v>
      </c>
      <c r="Q24" s="7">
        <v>1</v>
      </c>
      <c r="R24" s="6">
        <v>3</v>
      </c>
      <c r="S24">
        <v>2</v>
      </c>
      <c r="T24">
        <v>3</v>
      </c>
      <c r="U24">
        <v>1</v>
      </c>
      <c r="V24" s="7">
        <v>3</v>
      </c>
      <c r="W24" s="6">
        <v>2</v>
      </c>
      <c r="X24">
        <v>4</v>
      </c>
      <c r="Y24">
        <v>3</v>
      </c>
      <c r="Z24">
        <v>2</v>
      </c>
      <c r="AA24" s="7">
        <v>4</v>
      </c>
    </row>
    <row r="25" spans="1:27" outlineLevel="1" x14ac:dyDescent="0.25">
      <c r="A25" s="6" t="s">
        <v>67</v>
      </c>
      <c r="B25">
        <v>-4</v>
      </c>
      <c r="C25" s="6">
        <v>1</v>
      </c>
      <c r="D25">
        <v>1</v>
      </c>
      <c r="E25">
        <v>0</v>
      </c>
      <c r="F25">
        <v>1</v>
      </c>
      <c r="G25" s="7">
        <v>0</v>
      </c>
      <c r="H25" s="6">
        <v>0</v>
      </c>
      <c r="I25">
        <v>0</v>
      </c>
      <c r="J25">
        <v>0</v>
      </c>
      <c r="K25">
        <v>0</v>
      </c>
      <c r="L25" s="7">
        <v>0</v>
      </c>
      <c r="M25" s="6">
        <v>0</v>
      </c>
      <c r="N25">
        <v>0</v>
      </c>
      <c r="O25">
        <v>0</v>
      </c>
      <c r="P25">
        <v>0</v>
      </c>
      <c r="Q25" s="7">
        <v>0</v>
      </c>
      <c r="R25" s="6">
        <v>0</v>
      </c>
      <c r="S25">
        <v>0</v>
      </c>
      <c r="T25">
        <v>0</v>
      </c>
      <c r="U25">
        <v>0</v>
      </c>
      <c r="V25" s="7">
        <v>0</v>
      </c>
      <c r="W25" s="6">
        <v>1</v>
      </c>
      <c r="X25">
        <v>0</v>
      </c>
      <c r="Y25">
        <v>0</v>
      </c>
      <c r="Z25">
        <v>0</v>
      </c>
      <c r="AA25" s="7">
        <v>0</v>
      </c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>
        <v>0</v>
      </c>
      <c r="H26" s="11">
        <v>0</v>
      </c>
      <c r="I26" s="12">
        <v>0</v>
      </c>
      <c r="J26" s="12">
        <v>0</v>
      </c>
      <c r="K26" s="12">
        <v>0</v>
      </c>
      <c r="L26" s="13">
        <v>0</v>
      </c>
      <c r="M26" s="11">
        <v>0</v>
      </c>
      <c r="N26" s="12">
        <v>0</v>
      </c>
      <c r="O26" s="12">
        <v>0</v>
      </c>
      <c r="P26" s="12">
        <v>0</v>
      </c>
      <c r="Q26" s="13">
        <v>0</v>
      </c>
      <c r="R26" s="11">
        <v>0</v>
      </c>
      <c r="S26" s="12">
        <v>0</v>
      </c>
      <c r="T26" s="12">
        <v>0</v>
      </c>
      <c r="U26" s="12">
        <v>0</v>
      </c>
      <c r="V26" s="13">
        <v>0</v>
      </c>
      <c r="W26" s="11">
        <v>0</v>
      </c>
      <c r="X26" s="12">
        <v>0</v>
      </c>
      <c r="Y26" s="12">
        <v>0</v>
      </c>
      <c r="Z26" s="12">
        <v>0</v>
      </c>
      <c r="AA26" s="13">
        <v>0</v>
      </c>
    </row>
    <row r="27" spans="1:27" ht="15.75" thickBot="1" x14ac:dyDescent="0.3">
      <c r="C27" s="14">
        <f>(C21*$B21)+(C22*$B22)+(C23*$B23)+(C24*$B24)+(C25*$B25)+(C26*$B26)</f>
        <v>-9</v>
      </c>
      <c r="D27" s="14">
        <f t="shared" ref="D27:AA27" si="2">(D21*$B21)+(D22*$B22)+(D23*$B23)+(D24*$B24)+(D25*$B25)+(D26*$B26)</f>
        <v>1</v>
      </c>
      <c r="E27" s="14">
        <f t="shared" si="2"/>
        <v>14</v>
      </c>
      <c r="F27" s="14">
        <f t="shared" si="2"/>
        <v>13</v>
      </c>
      <c r="G27" s="14">
        <f t="shared" si="2"/>
        <v>20</v>
      </c>
      <c r="H27" s="14">
        <f t="shared" si="2"/>
        <v>7</v>
      </c>
      <c r="I27" s="14">
        <f t="shared" si="2"/>
        <v>-3</v>
      </c>
      <c r="J27" s="14">
        <f t="shared" si="2"/>
        <v>3</v>
      </c>
      <c r="K27" s="14">
        <f t="shared" si="2"/>
        <v>11</v>
      </c>
      <c r="L27" s="14">
        <f t="shared" si="2"/>
        <v>9</v>
      </c>
      <c r="M27" s="14">
        <f t="shared" si="2"/>
        <v>12</v>
      </c>
      <c r="N27" s="14">
        <f t="shared" si="2"/>
        <v>5</v>
      </c>
      <c r="O27" s="14">
        <f t="shared" si="2"/>
        <v>5</v>
      </c>
      <c r="P27" s="14">
        <f t="shared" si="2"/>
        <v>6</v>
      </c>
      <c r="Q27" s="15">
        <f t="shared" si="2"/>
        <v>7</v>
      </c>
      <c r="R27" s="14">
        <f t="shared" si="2"/>
        <v>3</v>
      </c>
      <c r="S27" s="14">
        <f t="shared" si="2"/>
        <v>11</v>
      </c>
      <c r="T27" s="14">
        <f t="shared" si="2"/>
        <v>6</v>
      </c>
      <c r="U27" s="14">
        <f t="shared" si="2"/>
        <v>4</v>
      </c>
      <c r="V27" s="15">
        <f t="shared" si="2"/>
        <v>3</v>
      </c>
      <c r="W27" s="14">
        <f t="shared" si="2"/>
        <v>16</v>
      </c>
      <c r="X27" s="14">
        <f t="shared" si="2"/>
        <v>7</v>
      </c>
      <c r="Y27" s="14">
        <f t="shared" si="2"/>
        <v>6</v>
      </c>
      <c r="Z27" s="14">
        <f t="shared" si="2"/>
        <v>2</v>
      </c>
      <c r="AA27" s="15">
        <f t="shared" si="2"/>
        <v>-8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>
        <v>0</v>
      </c>
      <c r="H29" s="6">
        <v>0</v>
      </c>
      <c r="I29">
        <v>0</v>
      </c>
      <c r="J29">
        <v>0</v>
      </c>
      <c r="K29">
        <v>0</v>
      </c>
      <c r="L29" s="7">
        <v>0</v>
      </c>
      <c r="M29" s="6">
        <v>0</v>
      </c>
      <c r="N29">
        <v>0</v>
      </c>
      <c r="O29">
        <v>0</v>
      </c>
      <c r="P29">
        <v>0</v>
      </c>
      <c r="Q29" s="7">
        <v>0</v>
      </c>
      <c r="R29" s="6">
        <v>0</v>
      </c>
      <c r="S29">
        <v>0</v>
      </c>
      <c r="T29">
        <v>0</v>
      </c>
      <c r="U29">
        <v>0</v>
      </c>
      <c r="V29" s="7">
        <v>0</v>
      </c>
      <c r="W29" s="6">
        <v>0</v>
      </c>
      <c r="X29">
        <v>0</v>
      </c>
      <c r="Y29">
        <v>0</v>
      </c>
      <c r="Z29">
        <v>0</v>
      </c>
      <c r="AA29" s="7">
        <v>0</v>
      </c>
    </row>
    <row r="30" spans="1:27" outlineLevel="1" x14ac:dyDescent="0.25">
      <c r="A30" s="6" t="s">
        <v>64</v>
      </c>
      <c r="B30">
        <v>7</v>
      </c>
      <c r="C30" s="6">
        <v>0</v>
      </c>
      <c r="D30">
        <v>0</v>
      </c>
      <c r="E30">
        <v>0</v>
      </c>
      <c r="F30">
        <v>0</v>
      </c>
      <c r="G30" s="7">
        <v>0</v>
      </c>
      <c r="H30" s="6">
        <v>0</v>
      </c>
      <c r="I30">
        <v>0</v>
      </c>
      <c r="J30">
        <v>0</v>
      </c>
      <c r="K30">
        <v>0</v>
      </c>
      <c r="L30" s="7">
        <v>0</v>
      </c>
      <c r="M30" s="6">
        <v>1</v>
      </c>
      <c r="N30">
        <v>0</v>
      </c>
      <c r="O30">
        <v>0</v>
      </c>
      <c r="P30">
        <v>0</v>
      </c>
      <c r="Q30" s="7">
        <v>0</v>
      </c>
      <c r="R30" s="6">
        <v>0</v>
      </c>
      <c r="S30">
        <v>0</v>
      </c>
      <c r="T30">
        <v>0</v>
      </c>
      <c r="U30">
        <v>0</v>
      </c>
      <c r="V30" s="7">
        <v>0</v>
      </c>
      <c r="W30" s="6">
        <v>0</v>
      </c>
      <c r="X30">
        <v>0</v>
      </c>
      <c r="Y30">
        <v>0</v>
      </c>
      <c r="Z30">
        <v>0</v>
      </c>
      <c r="AA30" s="7">
        <v>0</v>
      </c>
    </row>
    <row r="31" spans="1:27" outlineLevel="1" x14ac:dyDescent="0.25">
      <c r="A31" s="6" t="s">
        <v>65</v>
      </c>
      <c r="B31">
        <v>3</v>
      </c>
      <c r="C31" s="6">
        <v>3</v>
      </c>
      <c r="D31">
        <v>5</v>
      </c>
      <c r="E31">
        <v>4</v>
      </c>
      <c r="F31">
        <v>0</v>
      </c>
      <c r="G31" s="7">
        <v>3</v>
      </c>
      <c r="H31" s="6">
        <v>2</v>
      </c>
      <c r="I31">
        <v>3</v>
      </c>
      <c r="J31">
        <v>2</v>
      </c>
      <c r="K31">
        <v>2</v>
      </c>
      <c r="L31" s="7">
        <v>4</v>
      </c>
      <c r="M31" s="6">
        <v>5</v>
      </c>
      <c r="N31">
        <v>1</v>
      </c>
      <c r="O31">
        <v>2</v>
      </c>
      <c r="P31">
        <v>2</v>
      </c>
      <c r="Q31" s="7">
        <v>4</v>
      </c>
      <c r="R31" s="6">
        <v>3</v>
      </c>
      <c r="S31">
        <v>2</v>
      </c>
      <c r="T31">
        <v>1</v>
      </c>
      <c r="U31">
        <v>2</v>
      </c>
      <c r="V31" s="7">
        <v>4</v>
      </c>
      <c r="W31" s="6">
        <v>7</v>
      </c>
      <c r="X31">
        <v>2</v>
      </c>
      <c r="Y31">
        <v>2</v>
      </c>
      <c r="Z31">
        <v>4</v>
      </c>
      <c r="AA31" s="7">
        <v>2</v>
      </c>
    </row>
    <row r="32" spans="1:27" outlineLevel="1" x14ac:dyDescent="0.25">
      <c r="A32" s="6" t="s">
        <v>66</v>
      </c>
      <c r="B32">
        <v>-2</v>
      </c>
      <c r="C32" s="6">
        <v>2</v>
      </c>
      <c r="D32">
        <v>2</v>
      </c>
      <c r="E32">
        <v>4</v>
      </c>
      <c r="F32">
        <v>3</v>
      </c>
      <c r="G32" s="7">
        <v>4</v>
      </c>
      <c r="H32" s="6">
        <v>4</v>
      </c>
      <c r="I32">
        <v>2</v>
      </c>
      <c r="J32">
        <v>1</v>
      </c>
      <c r="K32">
        <v>6</v>
      </c>
      <c r="L32" s="7">
        <v>5</v>
      </c>
      <c r="M32" s="6">
        <v>2</v>
      </c>
      <c r="N32">
        <v>1</v>
      </c>
      <c r="O32">
        <v>2</v>
      </c>
      <c r="P32">
        <v>4</v>
      </c>
      <c r="Q32" s="7">
        <v>3</v>
      </c>
      <c r="R32" s="6">
        <v>1</v>
      </c>
      <c r="S32">
        <v>6</v>
      </c>
      <c r="T32">
        <v>1</v>
      </c>
      <c r="U32">
        <v>2</v>
      </c>
      <c r="V32" s="7">
        <v>1</v>
      </c>
      <c r="W32" s="6">
        <v>0</v>
      </c>
      <c r="X32">
        <v>2</v>
      </c>
      <c r="Y32">
        <v>2</v>
      </c>
      <c r="Z32">
        <v>1</v>
      </c>
      <c r="AA32" s="7">
        <v>5</v>
      </c>
    </row>
    <row r="33" spans="1:27" outlineLevel="1" x14ac:dyDescent="0.25">
      <c r="A33" s="6" t="s">
        <v>67</v>
      </c>
      <c r="B33">
        <v>-4</v>
      </c>
      <c r="C33" s="6">
        <v>1</v>
      </c>
      <c r="D33">
        <v>1</v>
      </c>
      <c r="E33">
        <v>0</v>
      </c>
      <c r="F33">
        <v>0</v>
      </c>
      <c r="G33" s="7">
        <v>1</v>
      </c>
      <c r="H33" s="6">
        <v>0</v>
      </c>
      <c r="I33">
        <v>0</v>
      </c>
      <c r="J33">
        <v>0</v>
      </c>
      <c r="K33">
        <v>0</v>
      </c>
      <c r="L33" s="7">
        <v>0</v>
      </c>
      <c r="M33" s="6">
        <v>0</v>
      </c>
      <c r="N33">
        <v>0</v>
      </c>
      <c r="O33">
        <v>0</v>
      </c>
      <c r="P33">
        <v>1</v>
      </c>
      <c r="Q33" s="7">
        <v>1</v>
      </c>
      <c r="R33" s="6">
        <v>0</v>
      </c>
      <c r="S33">
        <v>1</v>
      </c>
      <c r="T33">
        <v>0</v>
      </c>
      <c r="U33">
        <v>0</v>
      </c>
      <c r="V33" s="7">
        <v>0</v>
      </c>
      <c r="W33" s="6">
        <v>0</v>
      </c>
      <c r="X33">
        <v>0</v>
      </c>
      <c r="Y33">
        <v>0</v>
      </c>
      <c r="Z33">
        <v>0</v>
      </c>
      <c r="AA33" s="7">
        <v>0</v>
      </c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>
        <v>0</v>
      </c>
      <c r="H34" s="11">
        <v>0</v>
      </c>
      <c r="I34" s="12">
        <v>0</v>
      </c>
      <c r="J34" s="12">
        <v>0</v>
      </c>
      <c r="K34" s="12">
        <v>0</v>
      </c>
      <c r="L34" s="13">
        <v>0</v>
      </c>
      <c r="M34" s="11">
        <v>0</v>
      </c>
      <c r="N34" s="12">
        <v>0</v>
      </c>
      <c r="O34" s="12">
        <v>0</v>
      </c>
      <c r="P34" s="12">
        <v>0</v>
      </c>
      <c r="Q34" s="13">
        <v>0</v>
      </c>
      <c r="R34" s="11">
        <v>0</v>
      </c>
      <c r="S34" s="12">
        <v>0</v>
      </c>
      <c r="T34" s="12">
        <v>0</v>
      </c>
      <c r="U34" s="12">
        <v>0</v>
      </c>
      <c r="V34" s="13">
        <v>0</v>
      </c>
      <c r="W34" s="11">
        <v>0</v>
      </c>
      <c r="X34" s="12">
        <v>0</v>
      </c>
      <c r="Y34" s="12">
        <v>0</v>
      </c>
      <c r="Z34" s="12">
        <v>0</v>
      </c>
      <c r="AA34" s="13">
        <v>0</v>
      </c>
    </row>
    <row r="35" spans="1:27" ht="15.75" thickBot="1" x14ac:dyDescent="0.3">
      <c r="C35" s="14">
        <f>(C29*$B29)+(C30*$B30)+(C31*$B31)+(C32*$B32)+(C33*$B33)+(C34*$B34)</f>
        <v>1</v>
      </c>
      <c r="D35" s="14">
        <f t="shared" ref="D35:AA35" si="3">(D29*$B29)+(D30*$B30)+(D31*$B31)+(D32*$B32)+(D33*$B33)+(D34*$B34)</f>
        <v>7</v>
      </c>
      <c r="E35" s="14">
        <f t="shared" si="3"/>
        <v>4</v>
      </c>
      <c r="F35" s="14">
        <f t="shared" si="3"/>
        <v>-6</v>
      </c>
      <c r="G35" s="14">
        <f t="shared" si="3"/>
        <v>-3</v>
      </c>
      <c r="H35" s="14">
        <f t="shared" si="3"/>
        <v>-2</v>
      </c>
      <c r="I35" s="14">
        <f t="shared" si="3"/>
        <v>5</v>
      </c>
      <c r="J35" s="14">
        <f t="shared" si="3"/>
        <v>4</v>
      </c>
      <c r="K35" s="14">
        <f t="shared" si="3"/>
        <v>-6</v>
      </c>
      <c r="L35" s="14">
        <f t="shared" si="3"/>
        <v>2</v>
      </c>
      <c r="M35" s="14">
        <f t="shared" si="3"/>
        <v>18</v>
      </c>
      <c r="N35" s="14">
        <f t="shared" si="3"/>
        <v>1</v>
      </c>
      <c r="O35" s="14">
        <f t="shared" si="3"/>
        <v>2</v>
      </c>
      <c r="P35" s="14">
        <f t="shared" si="3"/>
        <v>-6</v>
      </c>
      <c r="Q35" s="15">
        <f t="shared" si="3"/>
        <v>2</v>
      </c>
      <c r="R35" s="14">
        <f t="shared" si="3"/>
        <v>7</v>
      </c>
      <c r="S35" s="14">
        <f t="shared" si="3"/>
        <v>-10</v>
      </c>
      <c r="T35" s="14">
        <f t="shared" si="3"/>
        <v>1</v>
      </c>
      <c r="U35" s="14">
        <f t="shared" si="3"/>
        <v>2</v>
      </c>
      <c r="V35" s="15">
        <f t="shared" si="3"/>
        <v>10</v>
      </c>
      <c r="W35" s="14">
        <f t="shared" si="3"/>
        <v>21</v>
      </c>
      <c r="X35" s="14">
        <f t="shared" si="3"/>
        <v>2</v>
      </c>
      <c r="Y35" s="14">
        <f t="shared" si="3"/>
        <v>2</v>
      </c>
      <c r="Z35" s="14">
        <f t="shared" si="3"/>
        <v>10</v>
      </c>
      <c r="AA35" s="15">
        <f t="shared" si="3"/>
        <v>-4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>
        <v>1</v>
      </c>
      <c r="AA37" s="7"/>
    </row>
    <row r="38" spans="1:27" outlineLevel="1" x14ac:dyDescent="0.25">
      <c r="A38" s="6" t="s">
        <v>74</v>
      </c>
      <c r="B38">
        <v>35</v>
      </c>
      <c r="C38" s="6"/>
      <c r="E38">
        <v>1</v>
      </c>
      <c r="G38" s="7"/>
      <c r="H38" s="6"/>
      <c r="L38" s="7"/>
      <c r="M38" s="6"/>
      <c r="Q38" s="7"/>
      <c r="R38" s="6"/>
      <c r="V38" s="7"/>
      <c r="W38" s="6"/>
      <c r="Y38">
        <v>1</v>
      </c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>
        <v>1</v>
      </c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K46">
        <v>1</v>
      </c>
      <c r="L46" s="7">
        <v>1</v>
      </c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N47">
        <v>1</v>
      </c>
      <c r="Q47" s="7"/>
      <c r="R47" s="6">
        <v>1</v>
      </c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>
        <v>1</v>
      </c>
      <c r="H48" s="6"/>
      <c r="I48">
        <v>1</v>
      </c>
      <c r="L48" s="7"/>
      <c r="M48" s="6"/>
      <c r="Q48" s="7"/>
      <c r="R48" s="6"/>
      <c r="V48" s="7"/>
      <c r="W48" s="6"/>
      <c r="X48">
        <v>1</v>
      </c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U49">
        <v>1</v>
      </c>
      <c r="V49" s="7">
        <v>1</v>
      </c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Q50" s="7"/>
      <c r="R50" s="6"/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>
        <v>1</v>
      </c>
      <c r="G51" s="7"/>
      <c r="H51" s="6"/>
      <c r="L51" s="7"/>
      <c r="M51" s="6"/>
      <c r="Q51" s="7">
        <v>1</v>
      </c>
      <c r="R51" s="6"/>
      <c r="T51">
        <v>1</v>
      </c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>
        <v>1</v>
      </c>
      <c r="E52" s="12"/>
      <c r="F52" s="12">
        <v>1</v>
      </c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/>
      <c r="X52" s="12"/>
      <c r="Y52" s="12"/>
      <c r="Z52" s="12">
        <v>1</v>
      </c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/>
      <c r="H55" s="6"/>
      <c r="L55" s="7"/>
      <c r="Q55" s="7"/>
      <c r="V55" s="7"/>
      <c r="AA55" s="7"/>
    </row>
    <row r="56" spans="1:27" outlineLevel="1" x14ac:dyDescent="0.25">
      <c r="A56" s="6" t="s">
        <v>115</v>
      </c>
      <c r="B56">
        <v>5</v>
      </c>
      <c r="C56" s="6"/>
      <c r="G56" s="7"/>
      <c r="H56" s="6"/>
      <c r="L56" s="7"/>
      <c r="Q56" s="7"/>
      <c r="V56" s="7"/>
      <c r="W56">
        <v>2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10</v>
      </c>
      <c r="D59" s="16" cm="1">
        <f t="array" ref="D59">SUM(D11,D19,D27,D35,(D37:D52)*($B37:$B52),((D55*$B55)+(D56*$B56)+(D57*$B57)))</f>
        <v>9</v>
      </c>
      <c r="E59" s="16" cm="1">
        <f t="array" ref="E59">SUM(E11,E19,E27,E35,(E37:E52)*($B37:$B52),((E55*$B55)+(E56*$B56)+(E57*$B57)))</f>
        <v>71</v>
      </c>
      <c r="F59" s="16" cm="1">
        <f t="array" ref="F59">SUM(F11,F19,F27,F35,(F37:F52)*($B37:$B52),((F55*$B55)+(F56*$B56)+(F57*$B57)))</f>
        <v>8</v>
      </c>
      <c r="G59" s="16" cm="1">
        <f t="array" ref="G59">SUM(G11,G19,G27,G35,(G37:G52)*($B37:$B52),((G55*$B55)+(G56*$B56)+(G57*$B57)))</f>
        <v>25</v>
      </c>
      <c r="H59" s="16" cm="1">
        <f t="array" ref="H59">SUM(H11,H19,H27,H35,(H37:H52)*($B37:$B52),((H55*$B55)+(H56*$B56)+(H57*$B57)))</f>
        <v>1</v>
      </c>
      <c r="I59" s="16" cm="1">
        <f t="array" ref="I59">SUM(I11,I19,I27,I35,(I37:I52)*($B37:$B52),((I55*$B55)+(I56*$B56)+(I57*$B57)))</f>
        <v>21</v>
      </c>
      <c r="J59" s="16" cm="1">
        <f t="array" ref="J59">SUM(J11,J19,J27,J35,(J37:J52)*($B37:$B52),((J55*$B55)+(J56*$B56)+(J57*$B57)))</f>
        <v>-2</v>
      </c>
      <c r="K59" s="16" cm="1">
        <f t="array" ref="K59">SUM(K11,K19,K27,K35,(K37:K52)*($B37:$B52),((K55*$B55)+(K56*$B56)+(K57*$B57)))</f>
        <v>40</v>
      </c>
      <c r="L59" s="16" cm="1">
        <f t="array" ref="L59">SUM(L11,L19,L27,L35,(L37:L52)*($B37:$B52),((L55*$B55)+(L56*$B56)+(L57*$B57)))</f>
        <v>38</v>
      </c>
      <c r="M59" s="16" cm="1">
        <f t="array" ref="M59">SUM(M11,M19,M27,M35,(M37:M52)*($B37:$B52),((M55*$B55)+(M56*$B56)+(M57*$B57)))</f>
        <v>46</v>
      </c>
      <c r="N59" s="16" cm="1">
        <f t="array" ref="N59">SUM(N11,N19,N27,N35,(N37:N52)*($B37:$B52),((N55*$B55)+(N56*$B56)+(N57*$B57)))</f>
        <v>28</v>
      </c>
      <c r="O59" s="16" cm="1">
        <f t="array" ref="O59">SUM(O11,O19,O27,O35,(O37:O52)*($B37:$B52),((O55*$B55)+(O56*$B56)+(O57*$B57)))</f>
        <v>-2</v>
      </c>
      <c r="P59" s="16" cm="1">
        <f t="array" ref="P59">SUM(P11,P19,P27,P35,(P37:P52)*($B37:$B52),((P55*$B55)+(P56*$B56)+(P57*$B57)))</f>
        <v>-1</v>
      </c>
      <c r="Q59" s="16" cm="1">
        <f t="array" ref="Q59">SUM(Q11,Q19,Q27,Q35,(Q37:Q52)*($B37:$B52),((Q55*$B55)+(Q56*$B56)+(Q57*$B57)))</f>
        <v>8</v>
      </c>
      <c r="R59" s="16" cm="1">
        <f t="array" ref="R59">SUM(R11,R19,R27,R35,(R37:R52)*($B37:$B52),((R55*$B55)+(R56*$B56)+(R57*$B57)))</f>
        <v>34</v>
      </c>
      <c r="S59" s="16" cm="1">
        <f t="array" ref="S59">SUM(S11,S19,S27,S35,(S37:S52)*($B37:$B52),((S55*$B55)+(S56*$B56)+(S57*$B57)))</f>
        <v>-5</v>
      </c>
      <c r="T59" s="16" cm="1">
        <f t="array" ref="T59">SUM(T11,T19,T27,T35,(T37:T52)*($B37:$B52),((T55*$B55)+(T56*$B56)+(T57*$B57)))</f>
        <v>12</v>
      </c>
      <c r="U59" s="16" cm="1">
        <f t="array" ref="U59">SUM(U11,U19,U27,U35,(U37:U52)*($B37:$B52),((U55*$B55)+(U56*$B56)+(U57*$B57)))</f>
        <v>15</v>
      </c>
      <c r="V59" s="16" cm="1">
        <f t="array" ref="V59">SUM(V11,V19,V27,V35,(V37:V52)*($B37:$B52),((V55*$B55)+(V56*$B56)+(V57*$B57)))</f>
        <v>16</v>
      </c>
      <c r="W59" s="16" cm="1">
        <f t="array" ref="W59">SUM(W11,W19,W27,W35,(W37:W52)*($B37:$B52),((W55*$B55)+(W56*$B56)+(W57*$B57)))</f>
        <v>112</v>
      </c>
      <c r="X59" s="16" cm="1">
        <f t="array" ref="X59">SUM(X11,X19,X27,X35,(X37:X52)*($B37:$B52),((X55*$B55)+(X56*$B56)+(X57*$B57)))</f>
        <v>20</v>
      </c>
      <c r="Y59" s="16" cm="1">
        <f t="array" ref="Y59">SUM(Y11,Y19,Y27,Y35,(Y37:Y52)*($B37:$B52),((Y55*$B55)+(Y56*$B56)+(Y57*$B57)))</f>
        <v>68</v>
      </c>
      <c r="Z59" s="16" cm="1">
        <f t="array" ref="Z59">SUM(Z11,Z19,Z27,Z35,(Z37:Z52)*($B37:$B52),((Z55*$B55)+(Z56*$B56)+(Z57*$B57)))</f>
        <v>1</v>
      </c>
      <c r="AA59" s="16" cm="1">
        <f t="array" ref="AA59">SUM(AA11,AA19,AA27,AA35,(AA37:AA52)*($B37:$B52),((AA55*$B55)+(AA56*$B56)+(AA57*$B57)))</f>
        <v>-5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123</v>
      </c>
      <c r="D61" s="18"/>
      <c r="E61" s="18"/>
      <c r="F61" s="18"/>
      <c r="G61" s="19"/>
      <c r="H61" s="17">
        <f>SUM(H59:L59)</f>
        <v>98</v>
      </c>
      <c r="I61" s="18"/>
      <c r="J61" s="18"/>
      <c r="K61" s="18"/>
      <c r="L61" s="19"/>
      <c r="M61" s="17">
        <f>SUM(M59:Q59)</f>
        <v>79</v>
      </c>
      <c r="N61" s="18"/>
      <c r="O61" s="18"/>
      <c r="P61" s="18"/>
      <c r="Q61" s="19"/>
      <c r="R61" s="17">
        <f>SUM(R59:V59)</f>
        <v>72</v>
      </c>
      <c r="S61" s="18"/>
      <c r="T61" s="18"/>
      <c r="U61" s="18"/>
      <c r="V61" s="19"/>
      <c r="W61" s="17">
        <f>SUM(W59:AA59)</f>
        <v>196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AFCB-6C11-4AED-8BA4-DFFA2688C37F}">
  <sheetPr codeName="Sheet9">
    <tabColor theme="0"/>
  </sheetPr>
  <dimension ref="A1:AA61"/>
  <sheetViews>
    <sheetView zoomScale="70" zoomScaleNormal="70" workbookViewId="0">
      <selection activeCell="R2" sqref="R2"/>
    </sheetView>
  </sheetViews>
  <sheetFormatPr defaultRowHeight="15" outlineLevelRow="1" x14ac:dyDescent="0.25"/>
  <sheetData>
    <row r="1" spans="1:27" ht="15.75" thickBot="1" x14ac:dyDescent="0.3">
      <c r="A1" t="s">
        <v>139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140</v>
      </c>
      <c r="D2" s="4" t="s">
        <v>109</v>
      </c>
      <c r="E2" s="42" t="s">
        <v>95</v>
      </c>
      <c r="F2" s="42" t="s">
        <v>114</v>
      </c>
      <c r="G2" s="5" t="s">
        <v>99</v>
      </c>
      <c r="H2" s="3" t="s">
        <v>123</v>
      </c>
      <c r="I2" s="42" t="s">
        <v>145</v>
      </c>
      <c r="J2" s="42" t="s">
        <v>127</v>
      </c>
      <c r="K2" s="4" t="s">
        <v>94</v>
      </c>
      <c r="L2" t="s">
        <v>106</v>
      </c>
      <c r="M2" s="3" t="s">
        <v>141</v>
      </c>
      <c r="N2" s="4" t="s">
        <v>53</v>
      </c>
      <c r="O2" s="4" t="s">
        <v>146</v>
      </c>
      <c r="P2" s="42" t="s">
        <v>148</v>
      </c>
      <c r="Q2" s="43" t="s">
        <v>130</v>
      </c>
      <c r="R2" s="44" t="s">
        <v>142</v>
      </c>
      <c r="S2" s="4" t="s">
        <v>143</v>
      </c>
      <c r="T2" s="4" t="s">
        <v>129</v>
      </c>
      <c r="U2" s="4" t="s">
        <v>147</v>
      </c>
      <c r="V2" s="43" t="s">
        <v>55</v>
      </c>
      <c r="W2" s="44" t="s">
        <v>144</v>
      </c>
      <c r="X2" s="4" t="s">
        <v>151</v>
      </c>
      <c r="Y2" s="4" t="s">
        <v>108</v>
      </c>
      <c r="Z2" s="4" t="s">
        <v>149</v>
      </c>
      <c r="AA2" s="5" t="s">
        <v>150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0</v>
      </c>
      <c r="H6" s="6">
        <v>0</v>
      </c>
      <c r="I6">
        <v>0</v>
      </c>
      <c r="J6">
        <v>1</v>
      </c>
      <c r="K6">
        <v>0</v>
      </c>
      <c r="L6" s="7">
        <v>0</v>
      </c>
      <c r="M6" s="6">
        <v>2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1</v>
      </c>
      <c r="T6">
        <v>1</v>
      </c>
      <c r="U6">
        <v>1</v>
      </c>
      <c r="V6" s="7">
        <v>0</v>
      </c>
      <c r="W6" s="6">
        <v>0</v>
      </c>
      <c r="X6">
        <v>0</v>
      </c>
      <c r="Y6">
        <v>1</v>
      </c>
      <c r="Z6">
        <v>0</v>
      </c>
      <c r="AA6" s="7">
        <v>0</v>
      </c>
    </row>
    <row r="7" spans="1:27" hidden="1" outlineLevel="1" x14ac:dyDescent="0.25">
      <c r="A7" s="6" t="s">
        <v>65</v>
      </c>
      <c r="B7">
        <v>3</v>
      </c>
      <c r="C7" s="6">
        <v>5</v>
      </c>
      <c r="D7">
        <v>3</v>
      </c>
      <c r="E7">
        <v>2</v>
      </c>
      <c r="F7">
        <v>5</v>
      </c>
      <c r="G7" s="7">
        <v>5</v>
      </c>
      <c r="H7" s="6">
        <v>3</v>
      </c>
      <c r="I7">
        <v>2</v>
      </c>
      <c r="J7">
        <v>1</v>
      </c>
      <c r="K7">
        <v>4</v>
      </c>
      <c r="L7" s="7">
        <v>3</v>
      </c>
      <c r="M7" s="6">
        <v>6</v>
      </c>
      <c r="N7">
        <v>6</v>
      </c>
      <c r="O7">
        <v>7</v>
      </c>
      <c r="P7">
        <v>3</v>
      </c>
      <c r="Q7" s="7">
        <v>5</v>
      </c>
      <c r="R7" s="6">
        <v>5</v>
      </c>
      <c r="S7">
        <v>4</v>
      </c>
      <c r="T7">
        <v>1</v>
      </c>
      <c r="U7">
        <v>7</v>
      </c>
      <c r="V7" s="7">
        <v>3</v>
      </c>
      <c r="W7" s="6">
        <v>4</v>
      </c>
      <c r="X7">
        <v>5</v>
      </c>
      <c r="Y7">
        <v>8</v>
      </c>
      <c r="Z7">
        <v>6</v>
      </c>
      <c r="AA7" s="7">
        <v>5</v>
      </c>
    </row>
    <row r="8" spans="1:27" hidden="1" outlineLevel="1" x14ac:dyDescent="0.25">
      <c r="A8" s="6" t="s">
        <v>66</v>
      </c>
      <c r="B8">
        <v>-2</v>
      </c>
      <c r="C8" s="6">
        <v>2</v>
      </c>
      <c r="D8">
        <v>3</v>
      </c>
      <c r="E8">
        <v>4</v>
      </c>
      <c r="F8">
        <v>5</v>
      </c>
      <c r="G8" s="7">
        <v>1</v>
      </c>
      <c r="H8" s="6">
        <v>1</v>
      </c>
      <c r="I8">
        <v>4</v>
      </c>
      <c r="J8">
        <v>4</v>
      </c>
      <c r="K8">
        <v>3</v>
      </c>
      <c r="L8" s="7">
        <v>2</v>
      </c>
      <c r="M8" s="6">
        <v>2</v>
      </c>
      <c r="N8">
        <v>2</v>
      </c>
      <c r="O8">
        <v>0</v>
      </c>
      <c r="P8">
        <v>4</v>
      </c>
      <c r="Q8" s="7">
        <v>1</v>
      </c>
      <c r="R8" s="6">
        <v>6</v>
      </c>
      <c r="S8">
        <v>2</v>
      </c>
      <c r="T8">
        <v>3</v>
      </c>
      <c r="U8">
        <v>3</v>
      </c>
      <c r="V8" s="7">
        <v>1</v>
      </c>
      <c r="W8" s="6">
        <v>2</v>
      </c>
      <c r="X8">
        <v>2</v>
      </c>
      <c r="Y8">
        <v>1</v>
      </c>
      <c r="Z8">
        <v>0</v>
      </c>
      <c r="AA8" s="7">
        <v>5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2</v>
      </c>
      <c r="F9">
        <v>0</v>
      </c>
      <c r="G9" s="7">
        <v>0</v>
      </c>
      <c r="H9" s="6">
        <v>0</v>
      </c>
      <c r="I9">
        <v>1</v>
      </c>
      <c r="J9">
        <v>0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0</v>
      </c>
      <c r="Q9" s="7">
        <v>2</v>
      </c>
      <c r="R9" s="6">
        <v>0</v>
      </c>
      <c r="S9">
        <v>0</v>
      </c>
      <c r="T9">
        <v>1</v>
      </c>
      <c r="U9">
        <v>0</v>
      </c>
      <c r="V9" s="7">
        <v>0</v>
      </c>
      <c r="W9" s="6">
        <v>0</v>
      </c>
      <c r="X9">
        <v>1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1</v>
      </c>
      <c r="W10" s="11">
        <v>1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11</v>
      </c>
      <c r="D11" s="14">
        <f t="shared" ref="D11:AA11" si="0">(D5*$B5)+(D6*$B6)+(D7*$B7)+(D8*$B8)+(D9*$B9)+(D10*$B10)</f>
        <v>3</v>
      </c>
      <c r="E11" s="14">
        <f t="shared" si="0"/>
        <v>-10</v>
      </c>
      <c r="F11" s="14">
        <f t="shared" si="0"/>
        <v>5</v>
      </c>
      <c r="G11" s="14">
        <f t="shared" si="0"/>
        <v>13</v>
      </c>
      <c r="H11" s="14">
        <f t="shared" si="0"/>
        <v>7</v>
      </c>
      <c r="I11" s="14">
        <f t="shared" si="0"/>
        <v>-6</v>
      </c>
      <c r="J11" s="14">
        <f t="shared" si="0"/>
        <v>2</v>
      </c>
      <c r="K11" s="14">
        <f t="shared" si="0"/>
        <v>6</v>
      </c>
      <c r="L11" s="14">
        <f t="shared" si="0"/>
        <v>5</v>
      </c>
      <c r="M11" s="14">
        <f t="shared" si="0"/>
        <v>28</v>
      </c>
      <c r="N11" s="14">
        <f t="shared" si="0"/>
        <v>14</v>
      </c>
      <c r="O11" s="14">
        <f t="shared" si="0"/>
        <v>21</v>
      </c>
      <c r="P11" s="14">
        <f t="shared" si="0"/>
        <v>1</v>
      </c>
      <c r="Q11" s="15">
        <f t="shared" si="0"/>
        <v>5</v>
      </c>
      <c r="R11" s="14">
        <f t="shared" si="0"/>
        <v>3</v>
      </c>
      <c r="S11" s="14">
        <f t="shared" si="0"/>
        <v>15</v>
      </c>
      <c r="T11" s="14">
        <f t="shared" si="0"/>
        <v>0</v>
      </c>
      <c r="U11" s="14">
        <f t="shared" si="0"/>
        <v>22</v>
      </c>
      <c r="V11" s="15">
        <f t="shared" si="0"/>
        <v>1</v>
      </c>
      <c r="W11" s="14">
        <f t="shared" si="0"/>
        <v>2</v>
      </c>
      <c r="X11" s="14">
        <f t="shared" si="0"/>
        <v>7</v>
      </c>
      <c r="Y11" s="14">
        <f t="shared" si="0"/>
        <v>29</v>
      </c>
      <c r="Z11" s="14">
        <f t="shared" si="0"/>
        <v>18</v>
      </c>
      <c r="AA11" s="15">
        <f t="shared" si="0"/>
        <v>5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0</v>
      </c>
      <c r="D14">
        <v>1</v>
      </c>
      <c r="E14">
        <v>0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1</v>
      </c>
      <c r="L14" s="7">
        <v>0</v>
      </c>
      <c r="M14" s="6">
        <v>0</v>
      </c>
      <c r="N14">
        <v>0</v>
      </c>
      <c r="O14">
        <v>0</v>
      </c>
      <c r="P14">
        <v>1</v>
      </c>
      <c r="Q14" s="7">
        <v>0</v>
      </c>
      <c r="R14" s="6">
        <v>0</v>
      </c>
      <c r="S14">
        <v>0</v>
      </c>
      <c r="T14">
        <v>0</v>
      </c>
      <c r="U14">
        <v>1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1</v>
      </c>
    </row>
    <row r="15" spans="1:27" hidden="1" outlineLevel="1" x14ac:dyDescent="0.25">
      <c r="A15" s="6" t="s">
        <v>65</v>
      </c>
      <c r="B15">
        <v>3</v>
      </c>
      <c r="C15" s="6">
        <v>6</v>
      </c>
      <c r="D15">
        <v>7</v>
      </c>
      <c r="E15">
        <v>4</v>
      </c>
      <c r="F15">
        <v>5</v>
      </c>
      <c r="G15" s="7">
        <v>5</v>
      </c>
      <c r="H15" s="6">
        <v>5</v>
      </c>
      <c r="I15">
        <v>6</v>
      </c>
      <c r="J15">
        <v>4</v>
      </c>
      <c r="K15">
        <v>3</v>
      </c>
      <c r="L15" s="7">
        <v>5</v>
      </c>
      <c r="M15" s="6">
        <v>6</v>
      </c>
      <c r="N15">
        <v>6</v>
      </c>
      <c r="O15">
        <v>3</v>
      </c>
      <c r="P15">
        <v>6</v>
      </c>
      <c r="Q15" s="7">
        <v>3</v>
      </c>
      <c r="R15" s="6">
        <v>5</v>
      </c>
      <c r="S15">
        <v>6</v>
      </c>
      <c r="T15">
        <v>8</v>
      </c>
      <c r="U15">
        <v>2</v>
      </c>
      <c r="V15" s="7">
        <v>3</v>
      </c>
      <c r="W15" s="6">
        <v>2</v>
      </c>
      <c r="X15">
        <v>8</v>
      </c>
      <c r="Y15">
        <v>4</v>
      </c>
      <c r="Z15">
        <v>5</v>
      </c>
      <c r="AA15" s="7">
        <v>4</v>
      </c>
    </row>
    <row r="16" spans="1:27" hidden="1" outlineLevel="1" x14ac:dyDescent="0.25">
      <c r="A16" s="6" t="s">
        <v>66</v>
      </c>
      <c r="B16">
        <v>-2</v>
      </c>
      <c r="C16" s="6">
        <v>1</v>
      </c>
      <c r="D16">
        <v>2</v>
      </c>
      <c r="E16">
        <v>1</v>
      </c>
      <c r="F16">
        <v>4</v>
      </c>
      <c r="G16" s="7">
        <v>0</v>
      </c>
      <c r="H16" s="6">
        <v>1</v>
      </c>
      <c r="I16">
        <v>0</v>
      </c>
      <c r="J16">
        <v>3</v>
      </c>
      <c r="K16">
        <v>1</v>
      </c>
      <c r="L16" s="7">
        <v>2</v>
      </c>
      <c r="M16" s="6">
        <v>4</v>
      </c>
      <c r="N16">
        <v>2</v>
      </c>
      <c r="O16">
        <v>3</v>
      </c>
      <c r="P16">
        <v>5</v>
      </c>
      <c r="Q16" s="7">
        <v>1</v>
      </c>
      <c r="R16" s="6">
        <v>2</v>
      </c>
      <c r="S16">
        <v>3</v>
      </c>
      <c r="T16">
        <v>1</v>
      </c>
      <c r="U16">
        <v>0</v>
      </c>
      <c r="V16" s="7">
        <v>2</v>
      </c>
      <c r="W16" s="6">
        <v>1</v>
      </c>
      <c r="X16">
        <v>2</v>
      </c>
      <c r="Y16">
        <v>2</v>
      </c>
      <c r="Z16">
        <v>0</v>
      </c>
      <c r="AA16" s="7">
        <v>3</v>
      </c>
    </row>
    <row r="17" spans="1:27" hidden="1" outlineLevel="1" x14ac:dyDescent="0.25">
      <c r="A17" s="6" t="s">
        <v>67</v>
      </c>
      <c r="B17">
        <v>-4</v>
      </c>
      <c r="C17" s="6">
        <v>1</v>
      </c>
      <c r="D17">
        <v>1</v>
      </c>
      <c r="E17">
        <v>0</v>
      </c>
      <c r="F17">
        <v>0</v>
      </c>
      <c r="G17" s="7">
        <v>0</v>
      </c>
      <c r="H17" s="6">
        <v>1</v>
      </c>
      <c r="I17">
        <v>0</v>
      </c>
      <c r="J17">
        <v>0</v>
      </c>
      <c r="K17">
        <v>1</v>
      </c>
      <c r="L17" s="7">
        <v>0</v>
      </c>
      <c r="M17" s="6">
        <v>0</v>
      </c>
      <c r="N17">
        <v>0</v>
      </c>
      <c r="O17">
        <v>1</v>
      </c>
      <c r="P17">
        <v>1</v>
      </c>
      <c r="Q17" s="7">
        <v>1</v>
      </c>
      <c r="R17" s="6">
        <v>0</v>
      </c>
      <c r="S17">
        <v>0</v>
      </c>
      <c r="T17">
        <v>0</v>
      </c>
      <c r="U17">
        <v>0</v>
      </c>
      <c r="V17" s="7">
        <v>0</v>
      </c>
      <c r="W17" s="6">
        <v>1</v>
      </c>
      <c r="X17">
        <v>0</v>
      </c>
      <c r="Y17">
        <v>1</v>
      </c>
      <c r="Z17">
        <v>1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12</v>
      </c>
      <c r="D19" s="14">
        <f t="shared" ref="D19:AA19" si="1">(D13*$B13)+(D14*$B14)+(D15*$B15)+(D16*$B16)+(D17*$B17)+(D18*$B18)</f>
        <v>20</v>
      </c>
      <c r="E19" s="14">
        <f t="shared" si="1"/>
        <v>10</v>
      </c>
      <c r="F19" s="14">
        <f t="shared" si="1"/>
        <v>7</v>
      </c>
      <c r="G19" s="14">
        <f t="shared" si="1"/>
        <v>15</v>
      </c>
      <c r="H19" s="14">
        <f t="shared" si="1"/>
        <v>9</v>
      </c>
      <c r="I19" s="14">
        <f t="shared" si="1"/>
        <v>18</v>
      </c>
      <c r="J19" s="14">
        <f t="shared" si="1"/>
        <v>6</v>
      </c>
      <c r="K19" s="14">
        <f t="shared" si="1"/>
        <v>10</v>
      </c>
      <c r="L19" s="14">
        <f t="shared" si="1"/>
        <v>11</v>
      </c>
      <c r="M19" s="14">
        <f t="shared" si="1"/>
        <v>10</v>
      </c>
      <c r="N19" s="14">
        <f t="shared" si="1"/>
        <v>14</v>
      </c>
      <c r="O19" s="14">
        <f t="shared" si="1"/>
        <v>-1</v>
      </c>
      <c r="P19" s="14">
        <f t="shared" si="1"/>
        <v>11</v>
      </c>
      <c r="Q19" s="15">
        <f t="shared" si="1"/>
        <v>3</v>
      </c>
      <c r="R19" s="14">
        <f t="shared" si="1"/>
        <v>11</v>
      </c>
      <c r="S19" s="14">
        <f t="shared" si="1"/>
        <v>12</v>
      </c>
      <c r="T19" s="14">
        <f t="shared" si="1"/>
        <v>22</v>
      </c>
      <c r="U19" s="14">
        <f t="shared" si="1"/>
        <v>13</v>
      </c>
      <c r="V19" s="15">
        <f t="shared" si="1"/>
        <v>5</v>
      </c>
      <c r="W19" s="14">
        <f t="shared" si="1"/>
        <v>0</v>
      </c>
      <c r="X19" s="14">
        <f t="shared" si="1"/>
        <v>20</v>
      </c>
      <c r="Y19" s="14">
        <f t="shared" si="1"/>
        <v>4</v>
      </c>
      <c r="Z19" s="14">
        <f t="shared" si="1"/>
        <v>11</v>
      </c>
      <c r="AA19" s="15">
        <f t="shared" si="1"/>
        <v>13</v>
      </c>
    </row>
    <row r="20" spans="1:27" ht="15.75" thickBot="1" x14ac:dyDescent="0.3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hidden="1" outlineLevel="1" x14ac:dyDescent="0.25">
      <c r="A21" s="6" t="s">
        <v>63</v>
      </c>
      <c r="B21">
        <v>15</v>
      </c>
      <c r="C21" s="6">
        <v>0</v>
      </c>
      <c r="D21">
        <v>0</v>
      </c>
      <c r="G21" s="7">
        <v>0</v>
      </c>
      <c r="H21" s="6">
        <v>0</v>
      </c>
      <c r="K21">
        <v>0</v>
      </c>
      <c r="L21" s="7">
        <v>0</v>
      </c>
      <c r="M21" s="6">
        <v>0</v>
      </c>
      <c r="N21">
        <v>0</v>
      </c>
      <c r="O21">
        <v>0</v>
      </c>
      <c r="Q21" s="7"/>
      <c r="R21" s="6"/>
      <c r="S21">
        <v>0</v>
      </c>
      <c r="T21">
        <v>0</v>
      </c>
      <c r="U21">
        <v>0</v>
      </c>
      <c r="V21" s="7"/>
      <c r="W21" s="6"/>
      <c r="X21">
        <v>0</v>
      </c>
      <c r="Y21">
        <v>0</v>
      </c>
      <c r="Z21">
        <v>0</v>
      </c>
      <c r="AA21" s="7">
        <v>0</v>
      </c>
    </row>
    <row r="22" spans="1:27" hidden="1" outlineLevel="1" x14ac:dyDescent="0.25">
      <c r="A22" s="6" t="s">
        <v>64</v>
      </c>
      <c r="B22">
        <v>7</v>
      </c>
      <c r="C22" s="6">
        <v>1</v>
      </c>
      <c r="D22">
        <v>0</v>
      </c>
      <c r="G22" s="7">
        <v>0</v>
      </c>
      <c r="H22" s="6">
        <v>0</v>
      </c>
      <c r="K22">
        <v>1</v>
      </c>
      <c r="L22" s="7">
        <v>0</v>
      </c>
      <c r="M22" s="6">
        <v>1</v>
      </c>
      <c r="N22">
        <v>0</v>
      </c>
      <c r="O22">
        <v>1</v>
      </c>
      <c r="Q22" s="7"/>
      <c r="R22" s="6"/>
      <c r="S22">
        <v>0</v>
      </c>
      <c r="T22">
        <v>1</v>
      </c>
      <c r="U22">
        <v>0</v>
      </c>
      <c r="V22" s="7"/>
      <c r="W22" s="6"/>
      <c r="X22">
        <v>0</v>
      </c>
      <c r="Y22">
        <v>0</v>
      </c>
      <c r="Z22">
        <v>0</v>
      </c>
      <c r="AA22" s="7">
        <v>0</v>
      </c>
    </row>
    <row r="23" spans="1:27" hidden="1" outlineLevel="1" x14ac:dyDescent="0.25">
      <c r="A23" s="6" t="s">
        <v>65</v>
      </c>
      <c r="B23">
        <v>3</v>
      </c>
      <c r="C23" s="6">
        <v>9</v>
      </c>
      <c r="D23">
        <v>7</v>
      </c>
      <c r="G23" s="7">
        <v>3</v>
      </c>
      <c r="H23" s="6">
        <v>4</v>
      </c>
      <c r="K23">
        <v>7</v>
      </c>
      <c r="L23" s="7">
        <v>4</v>
      </c>
      <c r="M23" s="6">
        <v>6</v>
      </c>
      <c r="N23">
        <v>6</v>
      </c>
      <c r="O23">
        <v>5</v>
      </c>
      <c r="Q23" s="7"/>
      <c r="R23" s="6"/>
      <c r="S23">
        <v>8</v>
      </c>
      <c r="T23">
        <v>5</v>
      </c>
      <c r="U23">
        <v>6</v>
      </c>
      <c r="V23" s="7"/>
      <c r="W23" s="6"/>
      <c r="X23">
        <v>4</v>
      </c>
      <c r="Y23">
        <v>3</v>
      </c>
      <c r="Z23">
        <v>6</v>
      </c>
      <c r="AA23" s="7">
        <v>2</v>
      </c>
    </row>
    <row r="24" spans="1:27" hidden="1" outlineLevel="1" x14ac:dyDescent="0.25">
      <c r="A24" s="6" t="s">
        <v>66</v>
      </c>
      <c r="B24">
        <v>-2</v>
      </c>
      <c r="C24" s="6">
        <v>2</v>
      </c>
      <c r="D24">
        <v>3</v>
      </c>
      <c r="G24" s="7">
        <v>3</v>
      </c>
      <c r="H24" s="6">
        <v>1</v>
      </c>
      <c r="K24">
        <v>4</v>
      </c>
      <c r="L24" s="7">
        <v>1</v>
      </c>
      <c r="M24" s="6">
        <v>2</v>
      </c>
      <c r="N24">
        <v>2</v>
      </c>
      <c r="O24">
        <v>3</v>
      </c>
      <c r="Q24" s="7"/>
      <c r="R24" s="6"/>
      <c r="S24">
        <v>0</v>
      </c>
      <c r="T24">
        <v>3</v>
      </c>
      <c r="U24">
        <v>2</v>
      </c>
      <c r="V24" s="7"/>
      <c r="W24" s="6"/>
      <c r="X24">
        <v>2</v>
      </c>
      <c r="Y24">
        <v>0</v>
      </c>
      <c r="Z24">
        <v>4</v>
      </c>
      <c r="AA24" s="7">
        <v>2</v>
      </c>
    </row>
    <row r="25" spans="1:27" hidden="1" outlineLevel="1" x14ac:dyDescent="0.25">
      <c r="A25" s="6" t="s">
        <v>67</v>
      </c>
      <c r="B25">
        <v>-4</v>
      </c>
      <c r="C25" s="6">
        <v>0</v>
      </c>
      <c r="D25">
        <v>0</v>
      </c>
      <c r="G25" s="7">
        <v>0</v>
      </c>
      <c r="H25" s="6">
        <v>0</v>
      </c>
      <c r="K25">
        <v>0</v>
      </c>
      <c r="L25" s="7">
        <v>1</v>
      </c>
      <c r="M25" s="6">
        <v>0</v>
      </c>
      <c r="N25">
        <v>0</v>
      </c>
      <c r="O25">
        <v>0</v>
      </c>
      <c r="Q25" s="7"/>
      <c r="R25" s="6"/>
      <c r="S25">
        <v>0</v>
      </c>
      <c r="T25">
        <v>0</v>
      </c>
      <c r="U25">
        <v>1</v>
      </c>
      <c r="V25" s="7"/>
      <c r="W25" s="6"/>
      <c r="X25">
        <v>2</v>
      </c>
      <c r="Y25">
        <v>0</v>
      </c>
      <c r="Z25">
        <v>0</v>
      </c>
      <c r="AA25" s="7">
        <v>1</v>
      </c>
    </row>
    <row r="26" spans="1:27" ht="15.75" hidden="1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/>
      <c r="F26" s="12"/>
      <c r="G26" s="13">
        <v>0</v>
      </c>
      <c r="H26" s="11">
        <v>0</v>
      </c>
      <c r="I26" s="12"/>
      <c r="J26" s="12"/>
      <c r="K26" s="12">
        <v>0</v>
      </c>
      <c r="L26" s="13">
        <v>0</v>
      </c>
      <c r="M26" s="11">
        <v>1</v>
      </c>
      <c r="N26" s="12">
        <v>0</v>
      </c>
      <c r="O26" s="12">
        <v>0</v>
      </c>
      <c r="P26" s="12"/>
      <c r="Q26" s="13"/>
      <c r="R26" s="11"/>
      <c r="S26" s="12">
        <v>0</v>
      </c>
      <c r="T26" s="12">
        <v>0</v>
      </c>
      <c r="U26" s="12">
        <v>0</v>
      </c>
      <c r="V26" s="13"/>
      <c r="W26" s="11"/>
      <c r="X26" s="12">
        <v>0</v>
      </c>
      <c r="Y26" s="12">
        <v>0</v>
      </c>
      <c r="Z26" s="12">
        <v>0</v>
      </c>
      <c r="AA26" s="13">
        <v>0</v>
      </c>
    </row>
    <row r="27" spans="1:27" ht="15.75" collapsed="1" thickBot="1" x14ac:dyDescent="0.3">
      <c r="C27" s="14">
        <f>(C21*$B21)+(C22*$B22)+(C23*$B23)+(C24*$B24)+(C25*$B25)+(C26*$B26)</f>
        <v>30</v>
      </c>
      <c r="D27" s="14">
        <f t="shared" ref="D27:AA27" si="2">(D21*$B21)+(D22*$B22)+(D23*$B23)+(D24*$B24)+(D25*$B25)+(D26*$B26)</f>
        <v>15</v>
      </c>
      <c r="E27" s="14">
        <f t="shared" si="2"/>
        <v>0</v>
      </c>
      <c r="F27" s="14">
        <f t="shared" si="2"/>
        <v>0</v>
      </c>
      <c r="G27" s="14">
        <f t="shared" si="2"/>
        <v>3</v>
      </c>
      <c r="H27" s="14">
        <f t="shared" si="2"/>
        <v>10</v>
      </c>
      <c r="I27" s="14">
        <f t="shared" si="2"/>
        <v>0</v>
      </c>
      <c r="J27" s="14">
        <f t="shared" si="2"/>
        <v>0</v>
      </c>
      <c r="K27" s="14">
        <f t="shared" si="2"/>
        <v>20</v>
      </c>
      <c r="L27" s="14">
        <f t="shared" si="2"/>
        <v>6</v>
      </c>
      <c r="M27" s="14">
        <f t="shared" si="2"/>
        <v>15</v>
      </c>
      <c r="N27" s="14">
        <f t="shared" si="2"/>
        <v>14</v>
      </c>
      <c r="O27" s="14">
        <f t="shared" si="2"/>
        <v>16</v>
      </c>
      <c r="P27" s="14">
        <f t="shared" si="2"/>
        <v>0</v>
      </c>
      <c r="Q27" s="15">
        <f t="shared" si="2"/>
        <v>0</v>
      </c>
      <c r="R27" s="14">
        <f t="shared" si="2"/>
        <v>0</v>
      </c>
      <c r="S27" s="14">
        <f t="shared" si="2"/>
        <v>24</v>
      </c>
      <c r="T27" s="14">
        <f t="shared" si="2"/>
        <v>16</v>
      </c>
      <c r="U27" s="14">
        <f t="shared" si="2"/>
        <v>10</v>
      </c>
      <c r="V27" s="15">
        <f t="shared" si="2"/>
        <v>0</v>
      </c>
      <c r="W27" s="14">
        <f t="shared" si="2"/>
        <v>0</v>
      </c>
      <c r="X27" s="14">
        <f t="shared" si="2"/>
        <v>0</v>
      </c>
      <c r="Y27" s="14">
        <f t="shared" si="2"/>
        <v>9</v>
      </c>
      <c r="Z27" s="14">
        <f t="shared" si="2"/>
        <v>10</v>
      </c>
      <c r="AA27" s="15">
        <f t="shared" si="2"/>
        <v>-2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G29" s="7">
        <v>0</v>
      </c>
      <c r="H29" s="6">
        <v>0</v>
      </c>
      <c r="K29">
        <v>0</v>
      </c>
      <c r="L29" s="7">
        <v>0</v>
      </c>
      <c r="M29" s="6">
        <v>0</v>
      </c>
      <c r="N29">
        <v>0</v>
      </c>
      <c r="O29">
        <v>0</v>
      </c>
      <c r="Q29" s="7"/>
      <c r="R29" s="6"/>
      <c r="S29">
        <v>0</v>
      </c>
      <c r="T29">
        <v>0</v>
      </c>
      <c r="U29">
        <v>0</v>
      </c>
      <c r="V29" s="7"/>
      <c r="W29" s="6"/>
      <c r="X29">
        <v>0</v>
      </c>
      <c r="Y29">
        <v>0</v>
      </c>
      <c r="Z29">
        <v>0</v>
      </c>
      <c r="AA29" s="7">
        <v>0</v>
      </c>
    </row>
    <row r="30" spans="1:27" outlineLevel="1" x14ac:dyDescent="0.25">
      <c r="A30" s="6" t="s">
        <v>64</v>
      </c>
      <c r="B30">
        <v>7</v>
      </c>
      <c r="C30" s="6">
        <v>0</v>
      </c>
      <c r="D30">
        <v>0</v>
      </c>
      <c r="G30" s="7">
        <v>0</v>
      </c>
      <c r="H30" s="6">
        <v>1</v>
      </c>
      <c r="K30">
        <v>0</v>
      </c>
      <c r="L30" s="7">
        <v>0</v>
      </c>
      <c r="M30" s="6">
        <v>1</v>
      </c>
      <c r="N30">
        <v>1</v>
      </c>
      <c r="O30">
        <v>1</v>
      </c>
      <c r="Q30" s="7"/>
      <c r="R30" s="6"/>
      <c r="S30">
        <v>0</v>
      </c>
      <c r="T30">
        <v>0</v>
      </c>
      <c r="U30">
        <v>0</v>
      </c>
      <c r="V30" s="7"/>
      <c r="W30" s="6"/>
      <c r="X30">
        <v>0</v>
      </c>
      <c r="Y30">
        <v>0</v>
      </c>
      <c r="Z30">
        <v>1</v>
      </c>
      <c r="AA30" s="7">
        <v>0</v>
      </c>
    </row>
    <row r="31" spans="1:27" outlineLevel="1" x14ac:dyDescent="0.25">
      <c r="A31" s="6" t="s">
        <v>65</v>
      </c>
      <c r="B31">
        <v>3</v>
      </c>
      <c r="C31" s="6">
        <v>7</v>
      </c>
      <c r="D31">
        <v>9</v>
      </c>
      <c r="G31" s="7">
        <v>6</v>
      </c>
      <c r="H31" s="6">
        <v>8</v>
      </c>
      <c r="K31">
        <v>6</v>
      </c>
      <c r="L31" s="7">
        <v>5</v>
      </c>
      <c r="M31" s="6">
        <v>3</v>
      </c>
      <c r="N31">
        <v>4</v>
      </c>
      <c r="O31">
        <v>2</v>
      </c>
      <c r="Q31" s="7"/>
      <c r="R31" s="6"/>
      <c r="S31">
        <v>6</v>
      </c>
      <c r="T31">
        <v>2</v>
      </c>
      <c r="U31">
        <v>5</v>
      </c>
      <c r="V31" s="7"/>
      <c r="W31" s="6"/>
      <c r="X31">
        <v>5</v>
      </c>
      <c r="Y31">
        <v>7</v>
      </c>
      <c r="Z31">
        <v>4</v>
      </c>
      <c r="AA31" s="7">
        <v>8</v>
      </c>
    </row>
    <row r="32" spans="1:27" outlineLevel="1" x14ac:dyDescent="0.25">
      <c r="A32" s="6" t="s">
        <v>66</v>
      </c>
      <c r="B32">
        <v>-2</v>
      </c>
      <c r="C32" s="6">
        <v>2</v>
      </c>
      <c r="D32">
        <v>0</v>
      </c>
      <c r="G32" s="7">
        <v>3</v>
      </c>
      <c r="H32" s="6">
        <v>1</v>
      </c>
      <c r="K32">
        <v>3</v>
      </c>
      <c r="L32" s="7">
        <v>2</v>
      </c>
      <c r="M32" s="6">
        <v>0</v>
      </c>
      <c r="N32">
        <v>1</v>
      </c>
      <c r="O32">
        <v>0</v>
      </c>
      <c r="Q32" s="7"/>
      <c r="R32" s="6"/>
      <c r="S32">
        <v>2</v>
      </c>
      <c r="T32">
        <v>6</v>
      </c>
      <c r="U32">
        <v>1</v>
      </c>
      <c r="V32" s="7"/>
      <c r="W32" s="6"/>
      <c r="X32">
        <v>4</v>
      </c>
      <c r="Y32">
        <v>2</v>
      </c>
      <c r="Z32">
        <v>2</v>
      </c>
      <c r="AA32" s="7">
        <v>1</v>
      </c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G33" s="7">
        <v>0</v>
      </c>
      <c r="H33" s="6">
        <v>0</v>
      </c>
      <c r="K33">
        <v>0</v>
      </c>
      <c r="L33" s="7">
        <v>1</v>
      </c>
      <c r="M33" s="6">
        <v>0</v>
      </c>
      <c r="N33">
        <v>0</v>
      </c>
      <c r="O33">
        <v>0</v>
      </c>
      <c r="Q33" s="7"/>
      <c r="R33" s="6"/>
      <c r="S33">
        <v>0</v>
      </c>
      <c r="T33">
        <v>0</v>
      </c>
      <c r="U33">
        <v>0</v>
      </c>
      <c r="V33" s="7"/>
      <c r="W33" s="6"/>
      <c r="X33">
        <v>0</v>
      </c>
      <c r="Y33">
        <v>0</v>
      </c>
      <c r="Z33">
        <v>0</v>
      </c>
      <c r="AA33" s="7">
        <v>1</v>
      </c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/>
      <c r="F34" s="12"/>
      <c r="G34" s="13">
        <v>0</v>
      </c>
      <c r="H34" s="11">
        <v>0</v>
      </c>
      <c r="I34" s="12"/>
      <c r="J34" s="12"/>
      <c r="K34" s="12">
        <v>0</v>
      </c>
      <c r="L34" s="13">
        <v>0</v>
      </c>
      <c r="M34" s="11">
        <v>0</v>
      </c>
      <c r="N34" s="12">
        <v>0</v>
      </c>
      <c r="O34" s="12">
        <v>0</v>
      </c>
      <c r="P34" s="12"/>
      <c r="Q34" s="13"/>
      <c r="R34" s="11"/>
      <c r="S34" s="12">
        <v>0</v>
      </c>
      <c r="T34" s="12">
        <v>0</v>
      </c>
      <c r="U34" s="12">
        <v>0</v>
      </c>
      <c r="V34" s="13"/>
      <c r="W34" s="11"/>
      <c r="X34" s="12">
        <v>0</v>
      </c>
      <c r="Y34" s="12">
        <v>0</v>
      </c>
      <c r="Z34" s="12">
        <v>0</v>
      </c>
      <c r="AA34" s="13">
        <v>0</v>
      </c>
    </row>
    <row r="35" spans="1:27" ht="15.75" thickBot="1" x14ac:dyDescent="0.3">
      <c r="C35" s="14">
        <f>(C29*$B29)+(C30*$B30)+(C31*$B31)+(C32*$B32)+(C33*$B33)+(C34*$B34)</f>
        <v>17</v>
      </c>
      <c r="D35" s="14">
        <f t="shared" ref="D35:AA35" si="3">(D29*$B29)+(D30*$B30)+(D31*$B31)+(D32*$B32)+(D33*$B33)+(D34*$B34)</f>
        <v>27</v>
      </c>
      <c r="E35" s="14">
        <f t="shared" si="3"/>
        <v>0</v>
      </c>
      <c r="F35" s="14">
        <f t="shared" si="3"/>
        <v>0</v>
      </c>
      <c r="G35" s="14">
        <f t="shared" si="3"/>
        <v>12</v>
      </c>
      <c r="H35" s="14">
        <f t="shared" si="3"/>
        <v>29</v>
      </c>
      <c r="I35" s="14">
        <f t="shared" si="3"/>
        <v>0</v>
      </c>
      <c r="J35" s="14">
        <f t="shared" si="3"/>
        <v>0</v>
      </c>
      <c r="K35" s="14">
        <f t="shared" si="3"/>
        <v>12</v>
      </c>
      <c r="L35" s="14">
        <f t="shared" si="3"/>
        <v>7</v>
      </c>
      <c r="M35" s="14">
        <f t="shared" si="3"/>
        <v>16</v>
      </c>
      <c r="N35" s="14">
        <f t="shared" si="3"/>
        <v>17</v>
      </c>
      <c r="O35" s="14">
        <f t="shared" si="3"/>
        <v>13</v>
      </c>
      <c r="P35" s="14">
        <f t="shared" si="3"/>
        <v>0</v>
      </c>
      <c r="Q35" s="15">
        <f t="shared" si="3"/>
        <v>0</v>
      </c>
      <c r="R35" s="14">
        <f t="shared" si="3"/>
        <v>0</v>
      </c>
      <c r="S35" s="14">
        <f t="shared" si="3"/>
        <v>14</v>
      </c>
      <c r="T35" s="14">
        <f t="shared" si="3"/>
        <v>-6</v>
      </c>
      <c r="U35" s="14">
        <f t="shared" si="3"/>
        <v>13</v>
      </c>
      <c r="V35" s="15">
        <f t="shared" si="3"/>
        <v>0</v>
      </c>
      <c r="W35" s="14">
        <f t="shared" si="3"/>
        <v>0</v>
      </c>
      <c r="X35" s="14">
        <f t="shared" si="3"/>
        <v>7</v>
      </c>
      <c r="Y35" s="14">
        <f t="shared" si="3"/>
        <v>17</v>
      </c>
      <c r="Z35" s="14">
        <f t="shared" si="3"/>
        <v>15</v>
      </c>
      <c r="AA35" s="15">
        <f t="shared" si="3"/>
        <v>18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>
        <v>1</v>
      </c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S38">
        <v>1</v>
      </c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D39">
        <v>1</v>
      </c>
      <c r="G39" s="7"/>
      <c r="H39" s="6"/>
      <c r="L39" s="7"/>
      <c r="M39" s="6">
        <v>1</v>
      </c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N43">
        <v>1</v>
      </c>
      <c r="Q43" s="7"/>
      <c r="R43" s="6"/>
      <c r="V43" s="7"/>
      <c r="W43" s="6"/>
      <c r="Y43">
        <v>1</v>
      </c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>
        <v>1</v>
      </c>
      <c r="L47" s="7"/>
      <c r="M47" s="6"/>
      <c r="Q47" s="7"/>
      <c r="R47" s="6"/>
      <c r="U47">
        <v>1</v>
      </c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/>
      <c r="H48" s="6"/>
      <c r="L48" s="7"/>
      <c r="M48" s="6"/>
      <c r="Q48" s="7"/>
      <c r="R48" s="6"/>
      <c r="V48" s="7"/>
      <c r="W48" s="6"/>
      <c r="Z48">
        <v>1</v>
      </c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>
        <v>1</v>
      </c>
      <c r="H50" s="6"/>
      <c r="L50" s="7"/>
      <c r="M50" s="6"/>
      <c r="Q50" s="7"/>
      <c r="R50" s="6"/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K51">
        <v>1</v>
      </c>
      <c r="L51" s="7"/>
      <c r="M51" s="6"/>
      <c r="O51">
        <v>1</v>
      </c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/>
      <c r="X52" s="12"/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E55">
        <v>1</v>
      </c>
      <c r="F55">
        <v>1</v>
      </c>
      <c r="G55" s="7"/>
      <c r="H55" s="6"/>
      <c r="I55">
        <v>1</v>
      </c>
      <c r="J55">
        <v>1</v>
      </c>
      <c r="L55" s="7"/>
      <c r="P55">
        <v>1</v>
      </c>
      <c r="Q55" s="7">
        <v>1</v>
      </c>
      <c r="R55">
        <v>1</v>
      </c>
      <c r="V55" s="7">
        <v>1</v>
      </c>
      <c r="W55">
        <v>1</v>
      </c>
      <c r="AA55" s="7"/>
    </row>
    <row r="56" spans="1:27" outlineLevel="1" x14ac:dyDescent="0.25">
      <c r="A56" s="6" t="s">
        <v>115</v>
      </c>
      <c r="B56">
        <v>5</v>
      </c>
      <c r="C56" s="6"/>
      <c r="D56">
        <v>1</v>
      </c>
      <c r="G56" s="7">
        <v>1</v>
      </c>
      <c r="H56" s="6"/>
      <c r="I56">
        <v>1</v>
      </c>
      <c r="L56" s="7"/>
      <c r="M56">
        <v>1</v>
      </c>
      <c r="O56">
        <v>2</v>
      </c>
      <c r="Q56" s="7"/>
      <c r="S56">
        <v>1</v>
      </c>
      <c r="U56">
        <v>1</v>
      </c>
      <c r="V56" s="7"/>
      <c r="Y56">
        <v>1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120</v>
      </c>
      <c r="D59" s="16" cm="1">
        <f t="array" ref="D59">SUM(D11,D19,D27,D35,(D37:D52)*($B37:$B52),((D55*$B55)+(D56*$B56)+(D57*$B57)))</f>
        <v>100</v>
      </c>
      <c r="E59" s="16" cm="1">
        <f t="array" ref="E59">SUM(E11,E19,E27,E35,(E37:E52)*($B37:$B52),((E55*$B55)+(E56*$B56)+(E57*$B57)))</f>
        <v>-7</v>
      </c>
      <c r="F59" s="16" cm="1">
        <f t="array" ref="F59">SUM(F11,F19,F27,F35,(F37:F52)*($B37:$B52),((F55*$B55)+(F56*$B56)+(F57*$B57)))</f>
        <v>5</v>
      </c>
      <c r="G59" s="16" cm="1">
        <f t="array" ref="G59">SUM(G11,G19,G27,G35,(G37:G52)*($B37:$B52),((G55*$B55)+(G56*$B56)+(G57*$B57)))</f>
        <v>51</v>
      </c>
      <c r="H59" s="16" cm="1">
        <f t="array" ref="H59">SUM(H11,H19,H27,H35,(H37:H52)*($B37:$B52),((H55*$B55)+(H56*$B56)+(H57*$B57)))</f>
        <v>65</v>
      </c>
      <c r="I59" s="16" cm="1">
        <f t="array" ref="I59">SUM(I11,I19,I27,I35,(I37:I52)*($B37:$B52),((I55*$B55)+(I56*$B56)+(I57*$B57)))</f>
        <v>10</v>
      </c>
      <c r="J59" s="16" cm="1">
        <f t="array" ref="J59">SUM(J11,J19,J27,J35,(J37:J52)*($B37:$B52),((J55*$B55)+(J56*$B56)+(J57*$B57)))</f>
        <v>1</v>
      </c>
      <c r="K59" s="16" cm="1">
        <f t="array" ref="K59">SUM(K11,K19,K27,K35,(K37:K52)*($B37:$B52),((K55*$B55)+(K56*$B56)+(K57*$B57)))</f>
        <v>50</v>
      </c>
      <c r="L59" s="16" cm="1">
        <f t="array" ref="L59">SUM(L11,L19,L27,L35,(L37:L52)*($B37:$B52),((L55*$B55)+(L56*$B56)+(L57*$B57)))</f>
        <v>29</v>
      </c>
      <c r="M59" s="16" cm="1">
        <f t="array" ref="M59">SUM(M11,M19,M27,M35,(M37:M52)*($B37:$B52),((M55*$B55)+(M56*$B56)+(M57*$B57)))</f>
        <v>104</v>
      </c>
      <c r="N59" s="16" cm="1">
        <f t="array" ref="N59">SUM(N11,N19,N27,N35,(N37:N52)*($B37:$B52),((N55*$B55)+(N56*$B56)+(N57*$B57)))</f>
        <v>73</v>
      </c>
      <c r="O59" s="16" cm="1">
        <f t="array" ref="O59">SUM(O11,O19,O27,O35,(O37:O52)*($B37:$B52),((O55*$B55)+(O56*$B56)+(O57*$B57)))</f>
        <v>61</v>
      </c>
      <c r="P59" s="16" cm="1">
        <f t="array" ref="P59">SUM(P11,P19,P27,P35,(P37:P52)*($B37:$B52),((P55*$B55)+(P56*$B56)+(P57*$B57)))</f>
        <v>5</v>
      </c>
      <c r="Q59" s="16" cm="1">
        <f t="array" ref="Q59">SUM(Q11,Q19,Q27,Q35,(Q37:Q52)*($B37:$B52),((Q55*$B55)+(Q56*$B56)+(Q57*$B57)))</f>
        <v>1</v>
      </c>
      <c r="R59" s="16" cm="1">
        <f t="array" ref="R59">SUM(R11,R19,R27,R35,(R37:R52)*($B37:$B52),((R55*$B55)+(R56*$B56)+(R57*$B57)))</f>
        <v>7</v>
      </c>
      <c r="S59" s="16" cm="1">
        <f t="array" ref="S59">SUM(S11,S19,S27,S35,(S37:S52)*($B37:$B52),((S55*$B55)+(S56*$B56)+(S57*$B57)))</f>
        <v>105</v>
      </c>
      <c r="T59" s="16" cm="1">
        <f t="array" ref="T59">SUM(T11,T19,T27,T35,(T37:T52)*($B37:$B52),((T55*$B55)+(T56*$B56)+(T57*$B57)))</f>
        <v>32</v>
      </c>
      <c r="U59" s="16" cm="1">
        <f t="array" ref="U59">SUM(U11,U19,U27,U35,(U37:U52)*($B37:$B52),((U55*$B55)+(U56*$B56)+(U57*$B57)))</f>
        <v>73</v>
      </c>
      <c r="V59" s="16" cm="1">
        <f t="array" ref="V59">SUM(V11,V19,V27,V35,(V37:V52)*($B37:$B52),((V55*$B55)+(V56*$B56)+(V57*$B57)))</f>
        <v>-1</v>
      </c>
      <c r="W59" s="16" cm="1">
        <f t="array" ref="W59">SUM(W11,W19,W27,W35,(W37:W52)*($B37:$B52),((W55*$B55)+(W56*$B56)+(W57*$B57)))</f>
        <v>-5</v>
      </c>
      <c r="X59" s="16" cm="1">
        <f t="array" ref="X59">SUM(X11,X19,X27,X35,(X37:X52)*($B37:$B52),((X55*$B55)+(X56*$B56)+(X57*$B57)))</f>
        <v>34</v>
      </c>
      <c r="Y59" s="16" cm="1">
        <f t="array" ref="Y59">SUM(Y11,Y19,Y27,Y35,(Y37:Y52)*($B37:$B52),((Y55*$B55)+(Y56*$B56)+(Y57*$B57)))</f>
        <v>78</v>
      </c>
      <c r="Z59" s="16" cm="1">
        <f t="array" ref="Z59">SUM(Z11,Z19,Z27,Z35,(Z37:Z52)*($B37:$B52),((Z55*$B55)+(Z56*$B56)+(Z57*$B57)))</f>
        <v>64</v>
      </c>
      <c r="AA59" s="16" cm="1">
        <f t="array" ref="AA59">SUM(AA11,AA19,AA27,AA35,(AA37:AA52)*($B37:$B52),((AA55*$B55)+(AA56*$B56)+(AA57*$B57)))</f>
        <v>34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269</v>
      </c>
      <c r="D61" s="18"/>
      <c r="E61" s="18"/>
      <c r="F61" s="18"/>
      <c r="G61" s="19"/>
      <c r="H61" s="17">
        <f>SUM(H59:L59)</f>
        <v>155</v>
      </c>
      <c r="I61" s="18"/>
      <c r="J61" s="18"/>
      <c r="K61" s="18"/>
      <c r="L61" s="19"/>
      <c r="M61" s="17">
        <f>SUM(M59:Q59)</f>
        <v>244</v>
      </c>
      <c r="N61" s="18"/>
      <c r="O61" s="18"/>
      <c r="P61" s="18"/>
      <c r="Q61" s="19"/>
      <c r="R61" s="17">
        <f>SUM(R59:V59)</f>
        <v>216</v>
      </c>
      <c r="S61" s="18"/>
      <c r="T61" s="18"/>
      <c r="U61" s="18"/>
      <c r="V61" s="19"/>
      <c r="W61" s="17">
        <f>SUM(W59:AA59)</f>
        <v>205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25499-2A6F-4D24-889B-4E4B3040AD65}">
  <sheetPr codeName="Sheet8">
    <tabColor theme="0"/>
  </sheetPr>
  <dimension ref="A1:AA61"/>
  <sheetViews>
    <sheetView zoomScale="70" zoomScaleNormal="70" workbookViewId="0">
      <selection activeCell="X51" sqref="X51"/>
    </sheetView>
  </sheetViews>
  <sheetFormatPr defaultRowHeight="15" outlineLevelRow="1" x14ac:dyDescent="0.25"/>
  <sheetData>
    <row r="1" spans="1:27" ht="15.75" thickBot="1" x14ac:dyDescent="0.3">
      <c r="A1" t="s">
        <v>137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123</v>
      </c>
      <c r="D2" s="4" t="s">
        <v>100</v>
      </c>
      <c r="E2" s="4" t="s">
        <v>124</v>
      </c>
      <c r="F2" s="4" t="s">
        <v>125</v>
      </c>
      <c r="G2" s="43" t="s">
        <v>126</v>
      </c>
      <c r="H2" s="3" t="s">
        <v>109</v>
      </c>
      <c r="I2" s="4" t="s">
        <v>99</v>
      </c>
      <c r="J2" s="42" t="s">
        <v>133</v>
      </c>
      <c r="K2" s="42" t="s">
        <v>97</v>
      </c>
      <c r="L2" s="45" t="s">
        <v>135</v>
      </c>
      <c r="M2" s="44" t="s">
        <v>128</v>
      </c>
      <c r="N2" s="4" t="s">
        <v>114</v>
      </c>
      <c r="O2" s="42" t="s">
        <v>131</v>
      </c>
      <c r="P2" s="4" t="s">
        <v>132</v>
      </c>
      <c r="Q2" s="43" t="s">
        <v>136</v>
      </c>
      <c r="R2" s="3" t="s">
        <v>111</v>
      </c>
      <c r="S2" s="42" t="s">
        <v>55</v>
      </c>
      <c r="T2" s="4" t="s">
        <v>129</v>
      </c>
      <c r="U2" s="4" t="s">
        <v>96</v>
      </c>
      <c r="V2" s="5" t="s">
        <v>110</v>
      </c>
      <c r="W2" s="44" t="s">
        <v>127</v>
      </c>
      <c r="X2" s="4" t="s">
        <v>108</v>
      </c>
      <c r="Y2" s="4" t="s">
        <v>130</v>
      </c>
      <c r="Z2" s="4" t="s">
        <v>54</v>
      </c>
      <c r="AA2" s="43" t="s">
        <v>134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0</v>
      </c>
      <c r="E6">
        <v>1</v>
      </c>
      <c r="F6">
        <v>0</v>
      </c>
      <c r="G6" s="7">
        <v>0</v>
      </c>
      <c r="H6" s="6">
        <v>0</v>
      </c>
      <c r="I6">
        <v>0</v>
      </c>
      <c r="J6">
        <v>0</v>
      </c>
      <c r="K6">
        <v>0</v>
      </c>
      <c r="L6" s="7">
        <v>0</v>
      </c>
      <c r="M6" s="6">
        <v>0</v>
      </c>
      <c r="N6">
        <v>0</v>
      </c>
      <c r="O6">
        <v>1</v>
      </c>
      <c r="P6">
        <v>0</v>
      </c>
      <c r="Q6" s="7">
        <v>2</v>
      </c>
      <c r="R6" s="6">
        <v>0</v>
      </c>
      <c r="S6">
        <v>0</v>
      </c>
      <c r="T6">
        <v>0</v>
      </c>
      <c r="U6">
        <v>0</v>
      </c>
      <c r="V6" s="7">
        <v>0</v>
      </c>
      <c r="W6" s="6">
        <v>0</v>
      </c>
      <c r="X6">
        <v>0</v>
      </c>
      <c r="Y6">
        <v>0</v>
      </c>
      <c r="Z6">
        <v>1</v>
      </c>
      <c r="AA6" s="7">
        <v>0</v>
      </c>
    </row>
    <row r="7" spans="1:27" hidden="1" outlineLevel="1" x14ac:dyDescent="0.25">
      <c r="A7" s="6" t="s">
        <v>65</v>
      </c>
      <c r="B7">
        <v>3</v>
      </c>
      <c r="C7" s="6">
        <v>6</v>
      </c>
      <c r="D7">
        <v>4</v>
      </c>
      <c r="E7">
        <v>3</v>
      </c>
      <c r="F7">
        <v>4</v>
      </c>
      <c r="G7" s="7">
        <v>3</v>
      </c>
      <c r="H7" s="6">
        <v>3</v>
      </c>
      <c r="I7">
        <v>10</v>
      </c>
      <c r="J7">
        <v>3</v>
      </c>
      <c r="K7">
        <v>3</v>
      </c>
      <c r="L7" s="7">
        <v>3</v>
      </c>
      <c r="M7" s="6">
        <v>2</v>
      </c>
      <c r="N7">
        <v>5</v>
      </c>
      <c r="O7">
        <v>1</v>
      </c>
      <c r="P7">
        <v>5</v>
      </c>
      <c r="Q7" s="7">
        <v>5</v>
      </c>
      <c r="R7" s="6">
        <v>3</v>
      </c>
      <c r="S7">
        <v>2</v>
      </c>
      <c r="T7">
        <v>5</v>
      </c>
      <c r="U7">
        <v>4</v>
      </c>
      <c r="V7" s="7">
        <v>7</v>
      </c>
      <c r="W7" s="6">
        <v>3</v>
      </c>
      <c r="X7">
        <v>4</v>
      </c>
      <c r="Y7">
        <v>3</v>
      </c>
      <c r="Z7">
        <v>4</v>
      </c>
      <c r="AA7" s="7">
        <v>4</v>
      </c>
    </row>
    <row r="8" spans="1:27" hidden="1" outlineLevel="1" x14ac:dyDescent="0.25">
      <c r="A8" s="6" t="s">
        <v>66</v>
      </c>
      <c r="B8">
        <v>-2</v>
      </c>
      <c r="C8" s="6">
        <v>1</v>
      </c>
      <c r="D8">
        <v>2</v>
      </c>
      <c r="E8">
        <v>0</v>
      </c>
      <c r="F8">
        <v>3</v>
      </c>
      <c r="G8" s="7">
        <v>6</v>
      </c>
      <c r="H8" s="6">
        <v>2</v>
      </c>
      <c r="I8">
        <v>3</v>
      </c>
      <c r="J8">
        <v>1</v>
      </c>
      <c r="K8">
        <v>1</v>
      </c>
      <c r="L8" s="7">
        <v>2</v>
      </c>
      <c r="M8" s="6">
        <v>3</v>
      </c>
      <c r="N8">
        <v>3</v>
      </c>
      <c r="O8">
        <v>2</v>
      </c>
      <c r="P8">
        <v>2</v>
      </c>
      <c r="Q8" s="7">
        <v>4</v>
      </c>
      <c r="R8" s="6">
        <v>2</v>
      </c>
      <c r="S8">
        <v>3</v>
      </c>
      <c r="T8">
        <v>3</v>
      </c>
      <c r="U8">
        <v>1</v>
      </c>
      <c r="V8" s="7">
        <v>1</v>
      </c>
      <c r="W8" s="6">
        <v>3</v>
      </c>
      <c r="X8">
        <v>0</v>
      </c>
      <c r="Y8">
        <v>2</v>
      </c>
      <c r="Z8">
        <v>3</v>
      </c>
      <c r="AA8" s="7">
        <v>2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0</v>
      </c>
      <c r="G9" s="7">
        <v>0</v>
      </c>
      <c r="H9" s="6">
        <v>0</v>
      </c>
      <c r="I9">
        <v>1</v>
      </c>
      <c r="J9">
        <v>2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0</v>
      </c>
      <c r="Q9" s="7">
        <v>1</v>
      </c>
      <c r="R9" s="6">
        <v>0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0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16</v>
      </c>
      <c r="D11" s="14">
        <f t="shared" ref="D11:AA11" si="0">(D5*$B5)+(D6*$B6)+(D7*$B7)+(D8*$B8)+(D9*$B9)+(D10*$B10)</f>
        <v>8</v>
      </c>
      <c r="E11" s="14">
        <f t="shared" si="0"/>
        <v>16</v>
      </c>
      <c r="F11" s="14">
        <f t="shared" si="0"/>
        <v>6</v>
      </c>
      <c r="G11" s="14">
        <f t="shared" si="0"/>
        <v>-3</v>
      </c>
      <c r="H11" s="14">
        <f t="shared" si="0"/>
        <v>5</v>
      </c>
      <c r="I11" s="14">
        <f t="shared" si="0"/>
        <v>20</v>
      </c>
      <c r="J11" s="14">
        <f t="shared" si="0"/>
        <v>-1</v>
      </c>
      <c r="K11" s="14">
        <f t="shared" si="0"/>
        <v>7</v>
      </c>
      <c r="L11" s="14">
        <f t="shared" si="0"/>
        <v>5</v>
      </c>
      <c r="M11" s="14">
        <f t="shared" si="0"/>
        <v>0</v>
      </c>
      <c r="N11" s="14">
        <f t="shared" si="0"/>
        <v>9</v>
      </c>
      <c r="O11" s="14">
        <f t="shared" si="0"/>
        <v>6</v>
      </c>
      <c r="P11" s="14">
        <f t="shared" si="0"/>
        <v>11</v>
      </c>
      <c r="Q11" s="15">
        <f t="shared" si="0"/>
        <v>17</v>
      </c>
      <c r="R11" s="14">
        <f t="shared" si="0"/>
        <v>5</v>
      </c>
      <c r="S11" s="14">
        <f t="shared" si="0"/>
        <v>0</v>
      </c>
      <c r="T11" s="14">
        <f t="shared" si="0"/>
        <v>9</v>
      </c>
      <c r="U11" s="14">
        <f t="shared" si="0"/>
        <v>10</v>
      </c>
      <c r="V11" s="15">
        <f t="shared" si="0"/>
        <v>19</v>
      </c>
      <c r="W11" s="14">
        <f t="shared" si="0"/>
        <v>3</v>
      </c>
      <c r="X11" s="14">
        <f t="shared" si="0"/>
        <v>12</v>
      </c>
      <c r="Y11" s="14">
        <f t="shared" si="0"/>
        <v>5</v>
      </c>
      <c r="Z11" s="14">
        <f t="shared" si="0"/>
        <v>13</v>
      </c>
      <c r="AA11" s="15">
        <f t="shared" si="0"/>
        <v>8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0</v>
      </c>
      <c r="D14">
        <v>0</v>
      </c>
      <c r="E14">
        <v>0</v>
      </c>
      <c r="F14">
        <v>0</v>
      </c>
      <c r="G14" s="7">
        <v>0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0</v>
      </c>
      <c r="N14">
        <v>1</v>
      </c>
      <c r="O14">
        <v>0</v>
      </c>
      <c r="P14">
        <v>0</v>
      </c>
      <c r="Q14" s="7">
        <v>0</v>
      </c>
      <c r="R14" s="6">
        <v>1</v>
      </c>
      <c r="S14">
        <v>0</v>
      </c>
      <c r="T14">
        <v>1</v>
      </c>
      <c r="U14">
        <v>0</v>
      </c>
      <c r="V14" s="7">
        <v>0</v>
      </c>
      <c r="W14" s="6">
        <v>0</v>
      </c>
      <c r="X14">
        <v>1</v>
      </c>
      <c r="Y14">
        <v>0</v>
      </c>
      <c r="Z14">
        <v>0</v>
      </c>
      <c r="AA14" s="7">
        <v>0</v>
      </c>
    </row>
    <row r="15" spans="1:27" hidden="1" outlineLevel="1" x14ac:dyDescent="0.25">
      <c r="A15" s="6" t="s">
        <v>65</v>
      </c>
      <c r="B15">
        <v>3</v>
      </c>
      <c r="C15" s="6">
        <v>4</v>
      </c>
      <c r="D15">
        <v>7</v>
      </c>
      <c r="E15">
        <v>6</v>
      </c>
      <c r="F15">
        <v>5</v>
      </c>
      <c r="G15" s="7">
        <v>3</v>
      </c>
      <c r="H15" s="6">
        <v>6</v>
      </c>
      <c r="I15">
        <v>4</v>
      </c>
      <c r="J15">
        <v>4</v>
      </c>
      <c r="K15">
        <v>5</v>
      </c>
      <c r="L15" s="7">
        <v>2</v>
      </c>
      <c r="M15" s="6">
        <v>0</v>
      </c>
      <c r="N15">
        <v>3</v>
      </c>
      <c r="O15">
        <v>4</v>
      </c>
      <c r="P15">
        <v>3</v>
      </c>
      <c r="Q15" s="7">
        <v>2</v>
      </c>
      <c r="R15" s="6">
        <v>4</v>
      </c>
      <c r="S15">
        <v>7</v>
      </c>
      <c r="T15">
        <v>4</v>
      </c>
      <c r="U15">
        <v>3</v>
      </c>
      <c r="V15" s="7">
        <v>3</v>
      </c>
      <c r="W15" s="6">
        <v>3</v>
      </c>
      <c r="X15">
        <v>5</v>
      </c>
      <c r="Y15">
        <v>9</v>
      </c>
      <c r="Z15">
        <v>5</v>
      </c>
      <c r="AA15" s="7">
        <v>3</v>
      </c>
    </row>
    <row r="16" spans="1:27" hidden="1" outlineLevel="1" x14ac:dyDescent="0.25">
      <c r="A16" s="6" t="s">
        <v>66</v>
      </c>
      <c r="B16">
        <v>-2</v>
      </c>
      <c r="C16" s="6">
        <v>1</v>
      </c>
      <c r="D16">
        <v>1</v>
      </c>
      <c r="E16">
        <v>3</v>
      </c>
      <c r="F16">
        <v>1</v>
      </c>
      <c r="G16" s="7">
        <v>1</v>
      </c>
      <c r="H16" s="6">
        <v>2</v>
      </c>
      <c r="I16">
        <v>1</v>
      </c>
      <c r="J16">
        <v>2</v>
      </c>
      <c r="K16">
        <v>3</v>
      </c>
      <c r="L16" s="7">
        <v>1</v>
      </c>
      <c r="M16" s="6">
        <v>4</v>
      </c>
      <c r="N16">
        <v>2</v>
      </c>
      <c r="O16">
        <v>3</v>
      </c>
      <c r="P16">
        <v>1</v>
      </c>
      <c r="Q16" s="7">
        <v>4</v>
      </c>
      <c r="R16" s="6">
        <v>2</v>
      </c>
      <c r="S16">
        <v>2</v>
      </c>
      <c r="T16">
        <v>1</v>
      </c>
      <c r="U16">
        <v>0</v>
      </c>
      <c r="V16" s="7">
        <v>3</v>
      </c>
      <c r="W16" s="6">
        <v>2</v>
      </c>
      <c r="X16">
        <v>2</v>
      </c>
      <c r="Y16">
        <v>0</v>
      </c>
      <c r="Z16">
        <v>1</v>
      </c>
      <c r="AA16" s="7">
        <v>3</v>
      </c>
    </row>
    <row r="17" spans="1:27" hidden="1" outlineLevel="1" x14ac:dyDescent="0.25">
      <c r="A17" s="6" t="s">
        <v>67</v>
      </c>
      <c r="B17">
        <v>-4</v>
      </c>
      <c r="C17" s="6">
        <v>0</v>
      </c>
      <c r="D17">
        <v>0</v>
      </c>
      <c r="E17">
        <v>0</v>
      </c>
      <c r="F17">
        <v>0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1</v>
      </c>
      <c r="M17" s="6">
        <v>0</v>
      </c>
      <c r="N17">
        <v>0</v>
      </c>
      <c r="O17">
        <v>1</v>
      </c>
      <c r="P17">
        <v>0</v>
      </c>
      <c r="Q17" s="7">
        <v>1</v>
      </c>
      <c r="R17" s="6">
        <v>0</v>
      </c>
      <c r="S17">
        <v>0</v>
      </c>
      <c r="T17">
        <v>1</v>
      </c>
      <c r="U17">
        <v>0</v>
      </c>
      <c r="V17" s="7">
        <v>0</v>
      </c>
      <c r="W17" s="6">
        <v>0</v>
      </c>
      <c r="X17">
        <v>0</v>
      </c>
      <c r="Y17">
        <v>1</v>
      </c>
      <c r="Z17">
        <v>0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10</v>
      </c>
      <c r="D19" s="14">
        <f t="shared" ref="D19:AA19" si="1">(D13*$B13)+(D14*$B14)+(D15*$B15)+(D16*$B16)+(D17*$B17)+(D18*$B18)</f>
        <v>19</v>
      </c>
      <c r="E19" s="14">
        <f t="shared" si="1"/>
        <v>12</v>
      </c>
      <c r="F19" s="14">
        <f t="shared" si="1"/>
        <v>13</v>
      </c>
      <c r="G19" s="14">
        <f t="shared" si="1"/>
        <v>7</v>
      </c>
      <c r="H19" s="14">
        <f t="shared" si="1"/>
        <v>14</v>
      </c>
      <c r="I19" s="14">
        <f t="shared" si="1"/>
        <v>10</v>
      </c>
      <c r="J19" s="14">
        <f t="shared" si="1"/>
        <v>8</v>
      </c>
      <c r="K19" s="14">
        <f t="shared" si="1"/>
        <v>9</v>
      </c>
      <c r="L19" s="14">
        <f t="shared" si="1"/>
        <v>0</v>
      </c>
      <c r="M19" s="14">
        <f t="shared" si="1"/>
        <v>-8</v>
      </c>
      <c r="N19" s="14">
        <f t="shared" si="1"/>
        <v>12</v>
      </c>
      <c r="O19" s="14">
        <f t="shared" si="1"/>
        <v>2</v>
      </c>
      <c r="P19" s="14">
        <f t="shared" si="1"/>
        <v>7</v>
      </c>
      <c r="Q19" s="15">
        <f t="shared" si="1"/>
        <v>-6</v>
      </c>
      <c r="R19" s="14">
        <f t="shared" si="1"/>
        <v>15</v>
      </c>
      <c r="S19" s="14">
        <f t="shared" si="1"/>
        <v>17</v>
      </c>
      <c r="T19" s="14">
        <f t="shared" si="1"/>
        <v>13</v>
      </c>
      <c r="U19" s="14">
        <f t="shared" si="1"/>
        <v>9</v>
      </c>
      <c r="V19" s="15">
        <f t="shared" si="1"/>
        <v>3</v>
      </c>
      <c r="W19" s="14">
        <f t="shared" si="1"/>
        <v>5</v>
      </c>
      <c r="X19" s="14">
        <f t="shared" si="1"/>
        <v>18</v>
      </c>
      <c r="Y19" s="14">
        <f t="shared" si="1"/>
        <v>23</v>
      </c>
      <c r="Z19" s="14">
        <f t="shared" si="1"/>
        <v>13</v>
      </c>
      <c r="AA19" s="15">
        <f t="shared" si="1"/>
        <v>3</v>
      </c>
    </row>
    <row r="20" spans="1:27" ht="15.75" thickBot="1" x14ac:dyDescent="0.3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hidden="1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F21">
        <v>0</v>
      </c>
      <c r="G21" s="7"/>
      <c r="H21" s="6">
        <v>0</v>
      </c>
      <c r="I21">
        <v>0</v>
      </c>
      <c r="L21" s="7"/>
      <c r="M21" s="6"/>
      <c r="N21">
        <v>0</v>
      </c>
      <c r="P21">
        <v>0</v>
      </c>
      <c r="Q21" s="7"/>
      <c r="R21" s="6">
        <v>0</v>
      </c>
      <c r="T21">
        <v>0</v>
      </c>
      <c r="U21">
        <v>0</v>
      </c>
      <c r="V21" s="7">
        <v>0</v>
      </c>
      <c r="W21" s="6"/>
      <c r="X21">
        <v>0</v>
      </c>
      <c r="Y21">
        <v>0</v>
      </c>
      <c r="Z21">
        <v>0</v>
      </c>
      <c r="AA21" s="7"/>
    </row>
    <row r="22" spans="1:27" hidden="1" outlineLevel="1" x14ac:dyDescent="0.25">
      <c r="A22" s="6" t="s">
        <v>64</v>
      </c>
      <c r="B22">
        <v>7</v>
      </c>
      <c r="C22" s="6">
        <v>0</v>
      </c>
      <c r="D22">
        <v>0</v>
      </c>
      <c r="E22">
        <v>0</v>
      </c>
      <c r="F22">
        <v>0</v>
      </c>
      <c r="G22" s="7"/>
      <c r="H22" s="6">
        <v>0</v>
      </c>
      <c r="I22">
        <v>0</v>
      </c>
      <c r="L22" s="7"/>
      <c r="M22" s="6"/>
      <c r="N22">
        <v>0</v>
      </c>
      <c r="P22">
        <v>1</v>
      </c>
      <c r="Q22" s="7"/>
      <c r="R22" s="6">
        <v>0</v>
      </c>
      <c r="T22">
        <v>0</v>
      </c>
      <c r="U22">
        <v>2</v>
      </c>
      <c r="V22" s="7">
        <v>0</v>
      </c>
      <c r="W22" s="6"/>
      <c r="X22">
        <v>0</v>
      </c>
      <c r="Y22">
        <v>0</v>
      </c>
      <c r="Z22">
        <v>0</v>
      </c>
      <c r="AA22" s="7"/>
    </row>
    <row r="23" spans="1:27" hidden="1" outlineLevel="1" x14ac:dyDescent="0.25">
      <c r="A23" s="6" t="s">
        <v>65</v>
      </c>
      <c r="B23">
        <v>3</v>
      </c>
      <c r="C23" s="6">
        <v>6</v>
      </c>
      <c r="D23">
        <v>0</v>
      </c>
      <c r="E23">
        <v>6</v>
      </c>
      <c r="F23">
        <v>1</v>
      </c>
      <c r="G23" s="7"/>
      <c r="H23" s="6">
        <v>5</v>
      </c>
      <c r="I23">
        <v>3</v>
      </c>
      <c r="L23" s="7"/>
      <c r="M23" s="6"/>
      <c r="N23">
        <v>3</v>
      </c>
      <c r="P23">
        <v>2</v>
      </c>
      <c r="Q23" s="7"/>
      <c r="R23" s="6">
        <v>2</v>
      </c>
      <c r="T23">
        <v>5</v>
      </c>
      <c r="U23">
        <v>1</v>
      </c>
      <c r="V23" s="7">
        <v>1</v>
      </c>
      <c r="W23" s="6"/>
      <c r="X23">
        <v>3</v>
      </c>
      <c r="Y23">
        <v>6</v>
      </c>
      <c r="Z23">
        <v>5</v>
      </c>
      <c r="AA23" s="7"/>
    </row>
    <row r="24" spans="1:27" hidden="1" outlineLevel="1" x14ac:dyDescent="0.25">
      <c r="A24" s="6" t="s">
        <v>66</v>
      </c>
      <c r="B24">
        <v>-2</v>
      </c>
      <c r="C24" s="6">
        <v>0</v>
      </c>
      <c r="D24">
        <v>1</v>
      </c>
      <c r="E24">
        <v>0</v>
      </c>
      <c r="F24">
        <v>3</v>
      </c>
      <c r="G24" s="7"/>
      <c r="H24" s="6">
        <v>2</v>
      </c>
      <c r="I24">
        <v>1</v>
      </c>
      <c r="L24" s="7"/>
      <c r="M24" s="6"/>
      <c r="N24">
        <v>2</v>
      </c>
      <c r="P24">
        <v>3</v>
      </c>
      <c r="Q24" s="7"/>
      <c r="R24" s="6">
        <v>2</v>
      </c>
      <c r="T24">
        <v>0</v>
      </c>
      <c r="U24">
        <v>5</v>
      </c>
      <c r="V24" s="7">
        <v>1</v>
      </c>
      <c r="W24" s="6"/>
      <c r="X24">
        <v>3</v>
      </c>
      <c r="Y24">
        <v>1</v>
      </c>
      <c r="Z24">
        <v>0</v>
      </c>
      <c r="AA24" s="7"/>
    </row>
    <row r="25" spans="1:27" hidden="1" outlineLevel="1" x14ac:dyDescent="0.25">
      <c r="A25" s="6" t="s">
        <v>67</v>
      </c>
      <c r="B25">
        <v>-4</v>
      </c>
      <c r="C25" s="6">
        <v>0</v>
      </c>
      <c r="D25">
        <v>1</v>
      </c>
      <c r="E25">
        <v>0</v>
      </c>
      <c r="F25">
        <v>0</v>
      </c>
      <c r="G25" s="7"/>
      <c r="H25" s="6">
        <v>1</v>
      </c>
      <c r="I25">
        <v>1</v>
      </c>
      <c r="L25" s="7"/>
      <c r="M25" s="6"/>
      <c r="N25">
        <v>0</v>
      </c>
      <c r="P25">
        <v>0</v>
      </c>
      <c r="Q25" s="7"/>
      <c r="R25" s="6">
        <v>0</v>
      </c>
      <c r="T25">
        <v>0</v>
      </c>
      <c r="U25">
        <v>0</v>
      </c>
      <c r="V25" s="7">
        <v>0</v>
      </c>
      <c r="W25" s="6"/>
      <c r="X25">
        <v>0</v>
      </c>
      <c r="Y25">
        <v>1</v>
      </c>
      <c r="Z25">
        <v>0</v>
      </c>
      <c r="AA25" s="7"/>
    </row>
    <row r="26" spans="1:27" ht="15.75" hidden="1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>
        <v>0</v>
      </c>
      <c r="G26" s="13"/>
      <c r="H26" s="11">
        <v>0</v>
      </c>
      <c r="I26" s="12">
        <v>0</v>
      </c>
      <c r="J26" s="12"/>
      <c r="K26" s="12"/>
      <c r="L26" s="13"/>
      <c r="M26" s="11"/>
      <c r="N26" s="12">
        <v>0</v>
      </c>
      <c r="O26" s="12"/>
      <c r="P26" s="12">
        <v>0</v>
      </c>
      <c r="Q26" s="13"/>
      <c r="R26" s="11">
        <v>0</v>
      </c>
      <c r="S26" s="12"/>
      <c r="T26" s="12">
        <v>0</v>
      </c>
      <c r="U26" s="12">
        <v>0</v>
      </c>
      <c r="V26" s="13">
        <v>0</v>
      </c>
      <c r="W26" s="11"/>
      <c r="X26" s="12">
        <v>0</v>
      </c>
      <c r="Y26" s="12">
        <v>0</v>
      </c>
      <c r="Z26" s="12">
        <v>0</v>
      </c>
      <c r="AA26" s="13"/>
    </row>
    <row r="27" spans="1:27" ht="15.75" collapsed="1" thickBot="1" x14ac:dyDescent="0.3">
      <c r="C27" s="14">
        <f>(C21*$B21)+(C22*$B22)+(C23*$B23)+(C24*$B24)+(C25*$B25)+(C26*$B26)</f>
        <v>18</v>
      </c>
      <c r="D27" s="14">
        <f t="shared" ref="D27:AA27" si="2">(D21*$B21)+(D22*$B22)+(D23*$B23)+(D24*$B24)+(D25*$B25)+(D26*$B26)</f>
        <v>-6</v>
      </c>
      <c r="E27" s="14">
        <f t="shared" si="2"/>
        <v>18</v>
      </c>
      <c r="F27" s="14">
        <f t="shared" si="2"/>
        <v>-3</v>
      </c>
      <c r="G27" s="14">
        <f t="shared" si="2"/>
        <v>0</v>
      </c>
      <c r="H27" s="14">
        <f t="shared" si="2"/>
        <v>7</v>
      </c>
      <c r="I27" s="14">
        <f t="shared" si="2"/>
        <v>3</v>
      </c>
      <c r="J27" s="14">
        <f t="shared" si="2"/>
        <v>0</v>
      </c>
      <c r="K27" s="14">
        <f t="shared" si="2"/>
        <v>0</v>
      </c>
      <c r="L27" s="14">
        <f t="shared" si="2"/>
        <v>0</v>
      </c>
      <c r="M27" s="14">
        <f t="shared" si="2"/>
        <v>0</v>
      </c>
      <c r="N27" s="14">
        <f t="shared" si="2"/>
        <v>5</v>
      </c>
      <c r="O27" s="14">
        <f t="shared" si="2"/>
        <v>0</v>
      </c>
      <c r="P27" s="14">
        <f t="shared" si="2"/>
        <v>7</v>
      </c>
      <c r="Q27" s="15">
        <f t="shared" si="2"/>
        <v>0</v>
      </c>
      <c r="R27" s="14">
        <f t="shared" si="2"/>
        <v>2</v>
      </c>
      <c r="S27" s="14">
        <f t="shared" si="2"/>
        <v>0</v>
      </c>
      <c r="T27" s="14">
        <f t="shared" si="2"/>
        <v>15</v>
      </c>
      <c r="U27" s="14">
        <f t="shared" si="2"/>
        <v>7</v>
      </c>
      <c r="V27" s="15">
        <f t="shared" si="2"/>
        <v>1</v>
      </c>
      <c r="W27" s="14">
        <f t="shared" si="2"/>
        <v>0</v>
      </c>
      <c r="X27" s="14">
        <f t="shared" si="2"/>
        <v>3</v>
      </c>
      <c r="Y27" s="14">
        <f t="shared" si="2"/>
        <v>12</v>
      </c>
      <c r="Z27" s="14">
        <f t="shared" si="2"/>
        <v>15</v>
      </c>
      <c r="AA27" s="15">
        <f t="shared" si="2"/>
        <v>0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F29">
        <v>0</v>
      </c>
      <c r="G29" s="7"/>
      <c r="H29" s="6">
        <v>0</v>
      </c>
      <c r="I29">
        <v>0</v>
      </c>
      <c r="L29" s="7"/>
      <c r="M29" s="6"/>
      <c r="N29">
        <v>0</v>
      </c>
      <c r="P29">
        <v>0</v>
      </c>
      <c r="Q29" s="7"/>
      <c r="R29" s="6">
        <v>0</v>
      </c>
      <c r="T29">
        <v>0</v>
      </c>
      <c r="U29">
        <v>0</v>
      </c>
      <c r="V29" s="7">
        <v>0</v>
      </c>
      <c r="W29" s="6"/>
      <c r="X29">
        <v>0</v>
      </c>
      <c r="Y29">
        <v>0</v>
      </c>
      <c r="Z29">
        <v>0</v>
      </c>
      <c r="AA29" s="7"/>
    </row>
    <row r="30" spans="1:27" outlineLevel="1" x14ac:dyDescent="0.25">
      <c r="A30" s="6" t="s">
        <v>64</v>
      </c>
      <c r="B30">
        <v>7</v>
      </c>
      <c r="C30" s="6">
        <v>1</v>
      </c>
      <c r="D30">
        <v>0</v>
      </c>
      <c r="E30">
        <v>0</v>
      </c>
      <c r="F30">
        <v>0</v>
      </c>
      <c r="G30" s="7"/>
      <c r="H30" s="6">
        <v>0</v>
      </c>
      <c r="I30">
        <v>0</v>
      </c>
      <c r="L30" s="7"/>
      <c r="M30" s="6"/>
      <c r="N30">
        <v>0</v>
      </c>
      <c r="P30">
        <v>0</v>
      </c>
      <c r="Q30" s="7"/>
      <c r="R30" s="6">
        <v>0</v>
      </c>
      <c r="T30">
        <v>0</v>
      </c>
      <c r="U30">
        <v>1</v>
      </c>
      <c r="V30" s="7">
        <v>0</v>
      </c>
      <c r="W30" s="6"/>
      <c r="X30">
        <v>0</v>
      </c>
      <c r="Y30">
        <v>0</v>
      </c>
      <c r="Z30">
        <v>1</v>
      </c>
      <c r="AA30" s="7"/>
    </row>
    <row r="31" spans="1:27" outlineLevel="1" x14ac:dyDescent="0.25">
      <c r="A31" s="6" t="s">
        <v>65</v>
      </c>
      <c r="B31">
        <v>3</v>
      </c>
      <c r="C31" s="6">
        <v>4</v>
      </c>
      <c r="D31">
        <v>8</v>
      </c>
      <c r="E31">
        <v>4</v>
      </c>
      <c r="F31">
        <v>7</v>
      </c>
      <c r="G31" s="7"/>
      <c r="H31" s="6">
        <v>5</v>
      </c>
      <c r="I31">
        <v>4</v>
      </c>
      <c r="L31" s="7"/>
      <c r="M31" s="6"/>
      <c r="N31">
        <v>7</v>
      </c>
      <c r="P31">
        <v>4</v>
      </c>
      <c r="Q31" s="7"/>
      <c r="R31" s="6">
        <v>7</v>
      </c>
      <c r="T31">
        <v>4</v>
      </c>
      <c r="U31">
        <v>2</v>
      </c>
      <c r="V31" s="7">
        <v>5</v>
      </c>
      <c r="W31" s="6"/>
      <c r="X31">
        <v>2</v>
      </c>
      <c r="Y31">
        <v>4</v>
      </c>
      <c r="Z31">
        <v>6</v>
      </c>
      <c r="AA31" s="7"/>
    </row>
    <row r="32" spans="1:27" outlineLevel="1" x14ac:dyDescent="0.25">
      <c r="A32" s="6" t="s">
        <v>66</v>
      </c>
      <c r="B32">
        <v>-2</v>
      </c>
      <c r="C32" s="6">
        <v>2</v>
      </c>
      <c r="D32">
        <v>1</v>
      </c>
      <c r="E32">
        <v>2</v>
      </c>
      <c r="F32">
        <v>2</v>
      </c>
      <c r="G32" s="7"/>
      <c r="H32" s="6">
        <v>2</v>
      </c>
      <c r="I32">
        <v>3</v>
      </c>
      <c r="L32" s="7"/>
      <c r="M32" s="6"/>
      <c r="N32">
        <v>3</v>
      </c>
      <c r="P32">
        <v>2</v>
      </c>
      <c r="Q32" s="7"/>
      <c r="R32" s="6">
        <v>1</v>
      </c>
      <c r="T32">
        <v>2</v>
      </c>
      <c r="U32">
        <v>2</v>
      </c>
      <c r="V32" s="7">
        <v>3</v>
      </c>
      <c r="W32" s="6"/>
      <c r="X32">
        <v>1</v>
      </c>
      <c r="Y32">
        <v>2</v>
      </c>
      <c r="Z32">
        <v>3</v>
      </c>
      <c r="AA32" s="7"/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2</v>
      </c>
      <c r="F33">
        <v>0</v>
      </c>
      <c r="G33" s="7"/>
      <c r="H33" s="6">
        <v>0</v>
      </c>
      <c r="I33">
        <v>1</v>
      </c>
      <c r="L33" s="7"/>
      <c r="M33" s="6"/>
      <c r="N33">
        <v>0</v>
      </c>
      <c r="P33">
        <v>0</v>
      </c>
      <c r="Q33" s="7"/>
      <c r="R33" s="6">
        <v>0</v>
      </c>
      <c r="T33">
        <v>0</v>
      </c>
      <c r="U33">
        <v>0</v>
      </c>
      <c r="V33" s="7">
        <v>0</v>
      </c>
      <c r="W33" s="6"/>
      <c r="X33">
        <v>0</v>
      </c>
      <c r="Y33">
        <v>0</v>
      </c>
      <c r="Z33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>
        <v>0</v>
      </c>
      <c r="G34" s="13"/>
      <c r="H34" s="11">
        <v>0</v>
      </c>
      <c r="I34" s="12">
        <v>0</v>
      </c>
      <c r="J34" s="12"/>
      <c r="K34" s="12"/>
      <c r="L34" s="13"/>
      <c r="M34" s="11"/>
      <c r="N34" s="12">
        <v>0</v>
      </c>
      <c r="O34" s="12"/>
      <c r="P34" s="12">
        <v>0</v>
      </c>
      <c r="Q34" s="13"/>
      <c r="R34" s="11">
        <v>0</v>
      </c>
      <c r="S34" s="12"/>
      <c r="T34" s="12">
        <v>0</v>
      </c>
      <c r="U34" s="12">
        <v>0</v>
      </c>
      <c r="V34" s="13">
        <v>0</v>
      </c>
      <c r="W34" s="11"/>
      <c r="X34" s="12">
        <v>0</v>
      </c>
      <c r="Y34" s="12">
        <v>0</v>
      </c>
      <c r="Z34" s="12">
        <v>0</v>
      </c>
      <c r="AA34" s="13"/>
    </row>
    <row r="35" spans="1:27" ht="15.75" thickBot="1" x14ac:dyDescent="0.3">
      <c r="C35" s="14">
        <f>(C29*$B29)+(C30*$B30)+(C31*$B31)+(C32*$B32)+(C33*$B33)+(C34*$B34)</f>
        <v>15</v>
      </c>
      <c r="D35" s="14">
        <f t="shared" ref="D35:AA35" si="3">(D29*$B29)+(D30*$B30)+(D31*$B31)+(D32*$B32)+(D33*$B33)+(D34*$B34)</f>
        <v>22</v>
      </c>
      <c r="E35" s="14">
        <f t="shared" si="3"/>
        <v>0</v>
      </c>
      <c r="F35" s="14">
        <f t="shared" si="3"/>
        <v>17</v>
      </c>
      <c r="G35" s="14">
        <f t="shared" si="3"/>
        <v>0</v>
      </c>
      <c r="H35" s="14">
        <f t="shared" si="3"/>
        <v>11</v>
      </c>
      <c r="I35" s="14">
        <f t="shared" si="3"/>
        <v>2</v>
      </c>
      <c r="J35" s="14">
        <f t="shared" si="3"/>
        <v>0</v>
      </c>
      <c r="K35" s="14">
        <f t="shared" si="3"/>
        <v>0</v>
      </c>
      <c r="L35" s="14">
        <f t="shared" si="3"/>
        <v>0</v>
      </c>
      <c r="M35" s="14">
        <f t="shared" si="3"/>
        <v>0</v>
      </c>
      <c r="N35" s="14">
        <f t="shared" si="3"/>
        <v>15</v>
      </c>
      <c r="O35" s="14">
        <f t="shared" si="3"/>
        <v>0</v>
      </c>
      <c r="P35" s="14">
        <f t="shared" si="3"/>
        <v>8</v>
      </c>
      <c r="Q35" s="15">
        <f t="shared" si="3"/>
        <v>0</v>
      </c>
      <c r="R35" s="14">
        <f t="shared" si="3"/>
        <v>19</v>
      </c>
      <c r="S35" s="14">
        <f t="shared" si="3"/>
        <v>0</v>
      </c>
      <c r="T35" s="14">
        <f t="shared" si="3"/>
        <v>8</v>
      </c>
      <c r="U35" s="14">
        <f t="shared" si="3"/>
        <v>9</v>
      </c>
      <c r="V35" s="15">
        <f t="shared" si="3"/>
        <v>9</v>
      </c>
      <c r="W35" s="14">
        <f t="shared" si="3"/>
        <v>0</v>
      </c>
      <c r="X35" s="14">
        <f t="shared" si="3"/>
        <v>4</v>
      </c>
      <c r="Y35" s="14">
        <f t="shared" si="3"/>
        <v>8</v>
      </c>
      <c r="Z35" s="14">
        <f t="shared" si="3"/>
        <v>19</v>
      </c>
      <c r="AA35" s="15">
        <f t="shared" si="3"/>
        <v>0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/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>
        <v>1</v>
      </c>
      <c r="G38" s="7"/>
      <c r="H38" s="6"/>
      <c r="L38" s="7"/>
      <c r="M38" s="6"/>
      <c r="Q38" s="7"/>
      <c r="R38" s="6"/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/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/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V42" s="7"/>
      <c r="W42" s="6"/>
      <c r="Z42">
        <v>1</v>
      </c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/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G47" s="7"/>
      <c r="H47" s="6"/>
      <c r="L47" s="7"/>
      <c r="M47" s="6"/>
      <c r="Q47" s="7"/>
      <c r="R47" s="6"/>
      <c r="V47" s="7"/>
      <c r="W47" s="6"/>
      <c r="Y47">
        <v>1</v>
      </c>
      <c r="AA47" s="7"/>
    </row>
    <row r="48" spans="1:27" outlineLevel="1" x14ac:dyDescent="0.25">
      <c r="A48" s="6" t="s">
        <v>84</v>
      </c>
      <c r="B48">
        <v>5</v>
      </c>
      <c r="C48" s="6"/>
      <c r="D48">
        <v>1</v>
      </c>
      <c r="E48">
        <v>1</v>
      </c>
      <c r="G48" s="7"/>
      <c r="H48" s="6"/>
      <c r="L48" s="7"/>
      <c r="M48" s="6"/>
      <c r="Q48" s="7"/>
      <c r="R48" s="6"/>
      <c r="T48">
        <v>1</v>
      </c>
      <c r="V48" s="7"/>
      <c r="W48" s="6"/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>
        <v>1</v>
      </c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G50" s="7"/>
      <c r="H50" s="6"/>
      <c r="L50" s="7"/>
      <c r="M50" s="6"/>
      <c r="N50">
        <v>1</v>
      </c>
      <c r="Q50" s="7"/>
      <c r="R50" s="6"/>
      <c r="V50" s="7"/>
      <c r="W50" s="6"/>
      <c r="X50">
        <v>1</v>
      </c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>
        <v>1</v>
      </c>
      <c r="L51" s="7"/>
      <c r="M51" s="6"/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/>
      <c r="F52" s="12">
        <v>1</v>
      </c>
      <c r="G52" s="13"/>
      <c r="H52" s="11"/>
      <c r="I52" s="12"/>
      <c r="J52" s="12"/>
      <c r="K52" s="12"/>
      <c r="L52" s="13"/>
      <c r="M52" s="11"/>
      <c r="N52" s="12"/>
      <c r="O52" s="12"/>
      <c r="P52" s="12">
        <v>1</v>
      </c>
      <c r="Q52" s="13"/>
      <c r="R52" s="11"/>
      <c r="S52" s="12"/>
      <c r="T52" s="12"/>
      <c r="U52" s="12">
        <v>1</v>
      </c>
      <c r="V52" s="13">
        <v>1</v>
      </c>
      <c r="W52" s="11"/>
      <c r="X52" s="12"/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G55" s="7">
        <v>1</v>
      </c>
      <c r="H55" s="6"/>
      <c r="J55">
        <v>1</v>
      </c>
      <c r="K55">
        <v>1</v>
      </c>
      <c r="L55" s="7">
        <v>1</v>
      </c>
      <c r="M55">
        <v>1</v>
      </c>
      <c r="O55">
        <v>1</v>
      </c>
      <c r="Q55" s="7">
        <v>1</v>
      </c>
      <c r="S55">
        <v>1</v>
      </c>
      <c r="V55" s="7"/>
      <c r="W55">
        <v>1</v>
      </c>
      <c r="AA55" s="7">
        <v>1</v>
      </c>
    </row>
    <row r="56" spans="1:27" outlineLevel="1" x14ac:dyDescent="0.25">
      <c r="A56" s="6" t="s">
        <v>115</v>
      </c>
      <c r="B56">
        <v>5</v>
      </c>
      <c r="C56" s="6">
        <v>1</v>
      </c>
      <c r="E56">
        <v>2</v>
      </c>
      <c r="G56" s="7"/>
      <c r="H56" s="6"/>
      <c r="L56" s="7"/>
      <c r="Q56" s="7"/>
      <c r="T56">
        <v>1</v>
      </c>
      <c r="U56">
        <v>1</v>
      </c>
      <c r="V56" s="7"/>
      <c r="X56">
        <v>1</v>
      </c>
      <c r="Z56">
        <v>1</v>
      </c>
      <c r="AA56" s="7"/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/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99</v>
      </c>
      <c r="D59" s="16" cm="1">
        <f t="array" ref="D59">SUM(D11,D19,D27,D35,(D37:D52)*($B37:$B52),((D55*$B55)+(D56*$B56)+(D57*$B57)))</f>
        <v>48</v>
      </c>
      <c r="E59" s="16" cm="1">
        <f t="array" ref="E59">SUM(E11,E19,E27,E35,(E37:E52)*($B37:$B52),((E55*$B55)+(E56*$B56)+(E57*$B57)))</f>
        <v>61</v>
      </c>
      <c r="F59" s="16" cm="1">
        <f t="array" ref="F59">SUM(F11,F19,F27,F35,(F37:F52)*($B37:$B52),((F55*$B55)+(F56*$B56)+(F57*$B57)))</f>
        <v>34</v>
      </c>
      <c r="G59" s="16" cm="1">
        <f t="array" ref="G59">SUM(G11,G19,G27,G35,(G37:G52)*($B37:$B52),((G55*$B55)+(G56*$B56)+(G57*$B57)))</f>
        <v>-3</v>
      </c>
      <c r="H59" s="16" cm="1">
        <f t="array" ref="H59">SUM(H11,H19,H27,H35,(H37:H52)*($B37:$B52),((H55*$B55)+(H56*$B56)+(H57*$B57)))</f>
        <v>39</v>
      </c>
      <c r="I59" s="16" cm="1">
        <f t="array" ref="I59">SUM(I11,I19,I27,I35,(I37:I52)*($B37:$B52),((I55*$B55)+(I56*$B56)+(I57*$B57)))</f>
        <v>35</v>
      </c>
      <c r="J59" s="16" cm="1">
        <f t="array" ref="J59">SUM(J11,J19,J27,J35,(J37:J52)*($B37:$B52),((J55*$B55)+(J56*$B56)+(J57*$B57)))</f>
        <v>0</v>
      </c>
      <c r="K59" s="16" cm="1">
        <f t="array" ref="K59">SUM(K11,K19,K27,K35,(K37:K52)*($B37:$B52),((K55*$B55)+(K56*$B56)+(K57*$B57)))</f>
        <v>9</v>
      </c>
      <c r="L59" s="16" cm="1">
        <f t="array" ref="L59">SUM(L11,L19,L27,L35,(L37:L52)*($B37:$B52),((L55*$B55)+(L56*$B56)+(L57*$B57)))</f>
        <v>-2</v>
      </c>
      <c r="M59" s="16" cm="1">
        <f t="array" ref="M59">SUM(M11,M19,M27,M35,(M37:M52)*($B37:$B52),((M55*$B55)+(M56*$B56)+(M57*$B57)))</f>
        <v>-15</v>
      </c>
      <c r="N59" s="16" cm="1">
        <f t="array" ref="N59">SUM(N11,N19,N27,N35,(N37:N52)*($B37:$B52),((N55*$B55)+(N56*$B56)+(N57*$B57)))</f>
        <v>44</v>
      </c>
      <c r="O59" s="16" cm="1">
        <f t="array" ref="O59">SUM(O11,O19,O27,O35,(O37:O52)*($B37:$B52),((O55*$B55)+(O56*$B56)+(O57*$B57)))</f>
        <v>1</v>
      </c>
      <c r="P59" s="16" cm="1">
        <f t="array" ref="P59">SUM(P11,P19,P27,P35,(P37:P52)*($B37:$B52),((P55*$B55)+(P56*$B56)+(P57*$B57)))</f>
        <v>34</v>
      </c>
      <c r="Q59" s="16" cm="1">
        <f t="array" ref="Q59">SUM(Q11,Q19,Q27,Q35,(Q37:Q52)*($B37:$B52),((Q55*$B55)+(Q56*$B56)+(Q57*$B57)))</f>
        <v>4</v>
      </c>
      <c r="R59" s="16" cm="1">
        <f t="array" ref="R59">SUM(R11,R19,R27,R35,(R37:R52)*($B37:$B52),((R55*$B55)+(R56*$B56)+(R57*$B57)))</f>
        <v>45</v>
      </c>
      <c r="S59" s="16" cm="1">
        <f t="array" ref="S59">SUM(S11,S19,S27,S35,(S37:S52)*($B37:$B52),((S55*$B55)+(S56*$B56)+(S57*$B57)))</f>
        <v>10</v>
      </c>
      <c r="T59" s="16" cm="1">
        <f t="array" ref="T59">SUM(T11,T19,T27,T35,(T37:T52)*($B37:$B52),((T55*$B55)+(T56*$B56)+(T57*$B57)))</f>
        <v>55</v>
      </c>
      <c r="U59" s="16" cm="1">
        <f t="array" ref="U59">SUM(U11,U19,U27,U35,(U37:U52)*($B37:$B52),((U55*$B55)+(U56*$B56)+(U57*$B57)))</f>
        <v>41</v>
      </c>
      <c r="V59" s="16" cm="1">
        <f t="array" ref="V59">SUM(V11,V19,V27,V35,(V37:V52)*($B37:$B52),((V55*$B55)+(V56*$B56)+(V57*$B57)))</f>
        <v>33</v>
      </c>
      <c r="W59" s="16" cm="1">
        <f t="array" ref="W59">SUM(W11,W19,W27,W35,(W37:W52)*($B37:$B52),((W55*$B55)+(W56*$B56)+(W57*$B57)))</f>
        <v>1</v>
      </c>
      <c r="X59" s="16" cm="1">
        <f t="array" ref="X59">SUM(X11,X19,X27,X35,(X37:X52)*($B37:$B52),((X55*$B55)+(X56*$B56)+(X57*$B57)))</f>
        <v>45</v>
      </c>
      <c r="Y59" s="16" cm="1">
        <f t="array" ref="Y59">SUM(Y11,Y19,Y27,Y35,(Y37:Y52)*($B37:$B52),((Y55*$B55)+(Y56*$B56)+(Y57*$B57)))</f>
        <v>58</v>
      </c>
      <c r="Z59" s="16" cm="1">
        <f t="array" ref="Z59">SUM(Z11,Z19,Z27,Z35,(Z37:Z52)*($B37:$B52),((Z55*$B55)+(Z56*$B56)+(Z57*$B57)))</f>
        <v>80</v>
      </c>
      <c r="AA59" s="16" cm="1">
        <f t="array" ref="AA59">SUM(AA11,AA19,AA27,AA35,(AA37:AA52)*($B37:$B52),((AA55*$B55)+(AA56*$B56)+(AA57*$B57)))</f>
        <v>4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239</v>
      </c>
      <c r="D61" s="18"/>
      <c r="E61" s="18"/>
      <c r="F61" s="18"/>
      <c r="G61" s="19"/>
      <c r="H61" s="17">
        <f>SUM(H59:L59)</f>
        <v>81</v>
      </c>
      <c r="I61" s="18"/>
      <c r="J61" s="18"/>
      <c r="K61" s="18"/>
      <c r="L61" s="19"/>
      <c r="M61" s="17">
        <f>SUM(M59:Q59)</f>
        <v>68</v>
      </c>
      <c r="N61" s="18"/>
      <c r="O61" s="18"/>
      <c r="P61" s="18"/>
      <c r="Q61" s="19"/>
      <c r="R61" s="17">
        <f>SUM(R59:V59)</f>
        <v>184</v>
      </c>
      <c r="S61" s="18"/>
      <c r="T61" s="18"/>
      <c r="U61" s="18"/>
      <c r="V61" s="19"/>
      <c r="W61" s="17">
        <f>SUM(W59:AA59)</f>
        <v>188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159AD-5C6E-4421-BB37-F80B61A75F1C}">
  <sheetPr codeName="Sheet7">
    <tabColor theme="0"/>
  </sheetPr>
  <dimension ref="A1:AA61"/>
  <sheetViews>
    <sheetView zoomScale="70" zoomScaleNormal="70" workbookViewId="0">
      <selection activeCell="N57" sqref="N57"/>
    </sheetView>
  </sheetViews>
  <sheetFormatPr defaultRowHeight="15" outlineLevelRow="1" x14ac:dyDescent="0.25"/>
  <sheetData>
    <row r="1" spans="1:27" ht="15.75" thickBot="1" x14ac:dyDescent="0.3">
      <c r="A1" t="s">
        <v>104</v>
      </c>
      <c r="C1" s="49" t="s">
        <v>0</v>
      </c>
      <c r="D1" s="50"/>
      <c r="E1" s="50"/>
      <c r="F1" s="50"/>
      <c r="G1" s="51"/>
      <c r="H1" s="49" t="s">
        <v>1</v>
      </c>
      <c r="I1" s="50"/>
      <c r="J1" s="50"/>
      <c r="K1" s="50"/>
      <c r="L1" s="51"/>
      <c r="M1" s="49" t="s">
        <v>2</v>
      </c>
      <c r="N1" s="50"/>
      <c r="O1" s="50"/>
      <c r="P1" s="50"/>
      <c r="Q1" s="51"/>
      <c r="R1" s="49" t="s">
        <v>3</v>
      </c>
      <c r="S1" s="50"/>
      <c r="T1" s="50"/>
      <c r="U1" s="50"/>
      <c r="V1" s="51"/>
      <c r="W1" s="49" t="s">
        <v>4</v>
      </c>
      <c r="X1" s="50"/>
      <c r="Y1" s="50"/>
      <c r="Z1" s="50"/>
      <c r="AA1" s="51"/>
    </row>
    <row r="2" spans="1:27" ht="15.75" thickBot="1" x14ac:dyDescent="0.3">
      <c r="A2" s="3" t="s">
        <v>61</v>
      </c>
      <c r="B2" s="4"/>
      <c r="C2" s="3" t="s">
        <v>103</v>
      </c>
      <c r="D2" s="4" t="s">
        <v>108</v>
      </c>
      <c r="E2" s="4" t="s">
        <v>105</v>
      </c>
      <c r="F2" s="42" t="s">
        <v>100</v>
      </c>
      <c r="G2" s="5" t="s">
        <v>98</v>
      </c>
      <c r="H2" s="3" t="s">
        <v>109</v>
      </c>
      <c r="I2" s="4" t="s">
        <v>106</v>
      </c>
      <c r="J2" s="42" t="s">
        <v>56</v>
      </c>
      <c r="K2" s="4" t="s">
        <v>99</v>
      </c>
      <c r="L2" t="s">
        <v>97</v>
      </c>
      <c r="M2" s="3" t="s">
        <v>52</v>
      </c>
      <c r="N2" s="4" t="s">
        <v>53</v>
      </c>
      <c r="O2" s="42" t="s">
        <v>94</v>
      </c>
      <c r="P2" s="4" t="s">
        <v>114</v>
      </c>
      <c r="Q2" s="43" t="s">
        <v>116</v>
      </c>
      <c r="R2" s="3" t="s">
        <v>50</v>
      </c>
      <c r="S2" s="4" t="s">
        <v>107</v>
      </c>
      <c r="T2" s="42" t="s">
        <v>110</v>
      </c>
      <c r="U2" s="4" t="s">
        <v>112</v>
      </c>
      <c r="V2" s="5" t="s">
        <v>55</v>
      </c>
      <c r="W2" s="3" t="s">
        <v>111</v>
      </c>
      <c r="X2" s="42" t="s">
        <v>95</v>
      </c>
      <c r="Y2" s="42" t="s">
        <v>96</v>
      </c>
      <c r="Z2" s="4" t="s">
        <v>54</v>
      </c>
      <c r="AA2" s="43" t="s">
        <v>102</v>
      </c>
    </row>
    <row r="3" spans="1:27" ht="15.75" thickBot="1" x14ac:dyDescent="0.3">
      <c r="C3" s="6"/>
      <c r="G3" s="7"/>
      <c r="H3" s="6"/>
      <c r="L3" s="7"/>
      <c r="M3" s="6"/>
      <c r="Q3" s="7"/>
      <c r="R3" s="6"/>
      <c r="V3" s="7"/>
      <c r="W3" s="6"/>
      <c r="AA3" s="7"/>
    </row>
    <row r="4" spans="1:27" ht="15.75" thickBot="1" x14ac:dyDescent="0.3">
      <c r="A4" s="8" t="s">
        <v>62</v>
      </c>
      <c r="B4" s="9"/>
      <c r="C4" s="8"/>
      <c r="D4" s="9"/>
      <c r="E4" s="9"/>
      <c r="F4" s="9"/>
      <c r="G4" s="10"/>
      <c r="H4" s="8"/>
      <c r="I4" s="9"/>
      <c r="J4" s="9"/>
      <c r="K4" s="9"/>
      <c r="L4" s="10"/>
      <c r="M4" s="8"/>
      <c r="N4" s="9"/>
      <c r="O4" s="9"/>
      <c r="P4" s="9"/>
      <c r="Q4" s="10"/>
      <c r="R4" s="8"/>
      <c r="S4" s="9"/>
      <c r="T4" s="9"/>
      <c r="U4" s="9"/>
      <c r="V4" s="10"/>
      <c r="W4" s="8"/>
      <c r="X4" s="9"/>
      <c r="Y4" s="9"/>
      <c r="Z4" s="9"/>
      <c r="AA4" s="10"/>
    </row>
    <row r="5" spans="1:27" hidden="1" outlineLevel="1" x14ac:dyDescent="0.25">
      <c r="A5" s="6" t="s">
        <v>63</v>
      </c>
      <c r="B5">
        <v>15</v>
      </c>
      <c r="C5" s="6">
        <v>0</v>
      </c>
      <c r="D5">
        <v>0</v>
      </c>
      <c r="E5">
        <v>0</v>
      </c>
      <c r="F5">
        <v>0</v>
      </c>
      <c r="G5" s="7">
        <v>0</v>
      </c>
      <c r="H5" s="6">
        <v>0</v>
      </c>
      <c r="I5">
        <v>0</v>
      </c>
      <c r="J5">
        <v>0</v>
      </c>
      <c r="K5">
        <v>0</v>
      </c>
      <c r="L5" s="7">
        <v>0</v>
      </c>
      <c r="M5" s="6">
        <v>0</v>
      </c>
      <c r="N5">
        <v>0</v>
      </c>
      <c r="O5">
        <v>0</v>
      </c>
      <c r="P5">
        <v>0</v>
      </c>
      <c r="Q5" s="7">
        <v>0</v>
      </c>
      <c r="R5" s="6">
        <v>0</v>
      </c>
      <c r="S5">
        <v>0</v>
      </c>
      <c r="T5">
        <v>0</v>
      </c>
      <c r="U5">
        <v>0</v>
      </c>
      <c r="V5" s="7">
        <v>0</v>
      </c>
      <c r="W5" s="6">
        <v>0</v>
      </c>
      <c r="X5">
        <v>0</v>
      </c>
      <c r="Y5">
        <v>0</v>
      </c>
      <c r="Z5">
        <v>0</v>
      </c>
      <c r="AA5" s="7">
        <v>0</v>
      </c>
    </row>
    <row r="6" spans="1:27" hidden="1" outlineLevel="1" x14ac:dyDescent="0.25">
      <c r="A6" s="6" t="s">
        <v>64</v>
      </c>
      <c r="B6">
        <v>7</v>
      </c>
      <c r="C6" s="6">
        <v>0</v>
      </c>
      <c r="D6">
        <v>0</v>
      </c>
      <c r="E6">
        <v>0</v>
      </c>
      <c r="F6">
        <v>0</v>
      </c>
      <c r="G6" s="7">
        <v>1</v>
      </c>
      <c r="H6" s="6">
        <v>0</v>
      </c>
      <c r="I6">
        <v>0</v>
      </c>
      <c r="J6">
        <v>0</v>
      </c>
      <c r="K6">
        <v>0</v>
      </c>
      <c r="L6" s="7">
        <v>0</v>
      </c>
      <c r="M6" s="6">
        <v>0</v>
      </c>
      <c r="N6">
        <v>0</v>
      </c>
      <c r="O6">
        <v>0</v>
      </c>
      <c r="P6">
        <v>0</v>
      </c>
      <c r="Q6" s="7">
        <v>0</v>
      </c>
      <c r="R6" s="6">
        <v>0</v>
      </c>
      <c r="S6">
        <v>0</v>
      </c>
      <c r="T6">
        <v>0</v>
      </c>
      <c r="U6">
        <v>0</v>
      </c>
      <c r="V6" s="7">
        <v>1</v>
      </c>
      <c r="W6" s="6">
        <v>0</v>
      </c>
      <c r="X6">
        <v>0</v>
      </c>
      <c r="Y6">
        <v>0</v>
      </c>
      <c r="Z6">
        <v>0</v>
      </c>
      <c r="AA6" s="7">
        <v>0</v>
      </c>
    </row>
    <row r="7" spans="1:27" hidden="1" outlineLevel="1" x14ac:dyDescent="0.25">
      <c r="A7" s="6" t="s">
        <v>65</v>
      </c>
      <c r="B7">
        <v>3</v>
      </c>
      <c r="C7" s="6">
        <v>4</v>
      </c>
      <c r="D7">
        <v>5</v>
      </c>
      <c r="E7">
        <v>3</v>
      </c>
      <c r="F7">
        <v>3</v>
      </c>
      <c r="G7" s="7">
        <v>6</v>
      </c>
      <c r="H7" s="6">
        <v>7</v>
      </c>
      <c r="I7">
        <v>4</v>
      </c>
      <c r="J7">
        <v>3</v>
      </c>
      <c r="K7">
        <v>6</v>
      </c>
      <c r="L7" s="7">
        <v>2</v>
      </c>
      <c r="M7" s="6">
        <v>5</v>
      </c>
      <c r="N7">
        <v>6</v>
      </c>
      <c r="O7">
        <v>2</v>
      </c>
      <c r="P7">
        <v>10</v>
      </c>
      <c r="Q7" s="7">
        <v>3</v>
      </c>
      <c r="R7" s="6">
        <v>5</v>
      </c>
      <c r="S7">
        <v>4</v>
      </c>
      <c r="T7">
        <v>3</v>
      </c>
      <c r="U7">
        <v>3</v>
      </c>
      <c r="V7" s="7">
        <v>5</v>
      </c>
      <c r="W7" s="6">
        <v>3</v>
      </c>
      <c r="X7">
        <v>1</v>
      </c>
      <c r="Y7">
        <v>1</v>
      </c>
      <c r="Z7">
        <v>6</v>
      </c>
      <c r="AA7" s="7">
        <v>1</v>
      </c>
    </row>
    <row r="8" spans="1:27" hidden="1" outlineLevel="1" x14ac:dyDescent="0.25">
      <c r="A8" s="6" t="s">
        <v>66</v>
      </c>
      <c r="B8">
        <v>-2</v>
      </c>
      <c r="C8" s="6">
        <v>1</v>
      </c>
      <c r="D8">
        <v>3</v>
      </c>
      <c r="E8">
        <v>2</v>
      </c>
      <c r="F8">
        <v>1</v>
      </c>
      <c r="G8" s="7">
        <v>1</v>
      </c>
      <c r="H8" s="6">
        <v>3</v>
      </c>
      <c r="I8">
        <v>1</v>
      </c>
      <c r="J8">
        <v>5</v>
      </c>
      <c r="K8">
        <v>2</v>
      </c>
      <c r="L8" s="7">
        <v>2</v>
      </c>
      <c r="M8" s="6">
        <v>1</v>
      </c>
      <c r="N8">
        <v>2</v>
      </c>
      <c r="O8">
        <v>2</v>
      </c>
      <c r="P8">
        <v>1</v>
      </c>
      <c r="Q8" s="7">
        <v>3</v>
      </c>
      <c r="R8" s="6">
        <v>1</v>
      </c>
      <c r="S8">
        <v>1</v>
      </c>
      <c r="T8">
        <v>4</v>
      </c>
      <c r="U8">
        <v>1</v>
      </c>
      <c r="V8" s="7">
        <v>0</v>
      </c>
      <c r="W8" s="6">
        <v>3</v>
      </c>
      <c r="X8">
        <v>1</v>
      </c>
      <c r="Y8">
        <v>3</v>
      </c>
      <c r="Z8">
        <v>0</v>
      </c>
      <c r="AA8" s="7">
        <v>0</v>
      </c>
    </row>
    <row r="9" spans="1:27" hidden="1" outlineLevel="1" x14ac:dyDescent="0.25">
      <c r="A9" s="6" t="s">
        <v>67</v>
      </c>
      <c r="B9">
        <v>-4</v>
      </c>
      <c r="C9" s="6">
        <v>0</v>
      </c>
      <c r="D9">
        <v>0</v>
      </c>
      <c r="E9">
        <v>0</v>
      </c>
      <c r="F9">
        <v>1</v>
      </c>
      <c r="G9" s="7">
        <v>1</v>
      </c>
      <c r="H9" s="6">
        <v>0</v>
      </c>
      <c r="I9">
        <v>1</v>
      </c>
      <c r="J9">
        <v>0</v>
      </c>
      <c r="K9">
        <v>0</v>
      </c>
      <c r="L9" s="7">
        <v>0</v>
      </c>
      <c r="M9" s="6">
        <v>0</v>
      </c>
      <c r="N9">
        <v>0</v>
      </c>
      <c r="O9">
        <v>0</v>
      </c>
      <c r="P9">
        <v>0</v>
      </c>
      <c r="Q9" s="7">
        <v>1</v>
      </c>
      <c r="R9" s="6">
        <v>1</v>
      </c>
      <c r="S9">
        <v>0</v>
      </c>
      <c r="T9">
        <v>0</v>
      </c>
      <c r="U9">
        <v>0</v>
      </c>
      <c r="V9" s="7">
        <v>0</v>
      </c>
      <c r="W9" s="6">
        <v>0</v>
      </c>
      <c r="X9">
        <v>0</v>
      </c>
      <c r="Y9">
        <v>0</v>
      </c>
      <c r="Z9">
        <v>0</v>
      </c>
      <c r="AA9" s="7">
        <v>0</v>
      </c>
    </row>
    <row r="10" spans="1:27" ht="15.75" hidden="1" outlineLevel="1" thickBot="1" x14ac:dyDescent="0.3">
      <c r="A10" s="11" t="s">
        <v>68</v>
      </c>
      <c r="B10" s="12">
        <v>-6</v>
      </c>
      <c r="C10" s="11">
        <v>0</v>
      </c>
      <c r="D10" s="12">
        <v>0</v>
      </c>
      <c r="E10" s="12">
        <v>0</v>
      </c>
      <c r="F10" s="12">
        <v>0</v>
      </c>
      <c r="G10" s="13">
        <v>1</v>
      </c>
      <c r="H10" s="11">
        <v>0</v>
      </c>
      <c r="I10" s="12">
        <v>0</v>
      </c>
      <c r="J10" s="12">
        <v>0</v>
      </c>
      <c r="K10" s="12">
        <v>0</v>
      </c>
      <c r="L10" s="13">
        <v>0</v>
      </c>
      <c r="M10" s="11">
        <v>0</v>
      </c>
      <c r="N10" s="12">
        <v>0</v>
      </c>
      <c r="O10" s="12">
        <v>0</v>
      </c>
      <c r="P10" s="12">
        <v>0</v>
      </c>
      <c r="Q10" s="13">
        <v>0</v>
      </c>
      <c r="R10" s="11">
        <v>0</v>
      </c>
      <c r="S10" s="12">
        <v>0</v>
      </c>
      <c r="T10" s="12">
        <v>0</v>
      </c>
      <c r="U10" s="12">
        <v>0</v>
      </c>
      <c r="V10" s="13">
        <v>0</v>
      </c>
      <c r="W10" s="11">
        <v>0</v>
      </c>
      <c r="X10" s="12">
        <v>0</v>
      </c>
      <c r="Y10" s="12">
        <v>0</v>
      </c>
      <c r="Z10" s="12">
        <v>0</v>
      </c>
      <c r="AA10" s="13">
        <v>0</v>
      </c>
    </row>
    <row r="11" spans="1:27" ht="15.75" collapsed="1" thickBot="1" x14ac:dyDescent="0.3">
      <c r="C11" s="14">
        <f>(C5*$B5)+(C6*$B6)+(C7*$B7)+(C8*$B8)+(C9*$B9)+(C10*$B10)</f>
        <v>10</v>
      </c>
      <c r="D11" s="14">
        <f t="shared" ref="D11:AA11" si="0">(D5*$B5)+(D6*$B6)+(D7*$B7)+(D8*$B8)+(D9*$B9)+(D10*$B10)</f>
        <v>9</v>
      </c>
      <c r="E11" s="14">
        <f t="shared" si="0"/>
        <v>5</v>
      </c>
      <c r="F11" s="14">
        <f t="shared" si="0"/>
        <v>3</v>
      </c>
      <c r="G11" s="14">
        <f t="shared" si="0"/>
        <v>13</v>
      </c>
      <c r="H11" s="14">
        <f t="shared" si="0"/>
        <v>15</v>
      </c>
      <c r="I11" s="14">
        <f t="shared" si="0"/>
        <v>6</v>
      </c>
      <c r="J11" s="14">
        <f t="shared" si="0"/>
        <v>-1</v>
      </c>
      <c r="K11" s="14">
        <f t="shared" si="0"/>
        <v>14</v>
      </c>
      <c r="L11" s="14">
        <f t="shared" si="0"/>
        <v>2</v>
      </c>
      <c r="M11" s="14">
        <f t="shared" si="0"/>
        <v>13</v>
      </c>
      <c r="N11" s="14">
        <f t="shared" si="0"/>
        <v>14</v>
      </c>
      <c r="O11" s="14">
        <f t="shared" si="0"/>
        <v>2</v>
      </c>
      <c r="P11" s="14">
        <f t="shared" si="0"/>
        <v>28</v>
      </c>
      <c r="Q11" s="15">
        <f t="shared" si="0"/>
        <v>-1</v>
      </c>
      <c r="R11" s="14">
        <f t="shared" si="0"/>
        <v>9</v>
      </c>
      <c r="S11" s="14">
        <f t="shared" si="0"/>
        <v>10</v>
      </c>
      <c r="T11" s="14">
        <f t="shared" si="0"/>
        <v>1</v>
      </c>
      <c r="U11" s="14">
        <f t="shared" si="0"/>
        <v>7</v>
      </c>
      <c r="V11" s="15">
        <f t="shared" si="0"/>
        <v>22</v>
      </c>
      <c r="W11" s="14">
        <f t="shared" si="0"/>
        <v>3</v>
      </c>
      <c r="X11" s="14">
        <f t="shared" si="0"/>
        <v>1</v>
      </c>
      <c r="Y11" s="14">
        <f t="shared" si="0"/>
        <v>-3</v>
      </c>
      <c r="Z11" s="14">
        <f t="shared" si="0"/>
        <v>18</v>
      </c>
      <c r="AA11" s="15">
        <f t="shared" si="0"/>
        <v>3</v>
      </c>
    </row>
    <row r="12" spans="1:27" ht="15.75" thickBot="1" x14ac:dyDescent="0.3">
      <c r="A12" s="8" t="s">
        <v>69</v>
      </c>
      <c r="B12" s="9"/>
      <c r="C12" s="8"/>
      <c r="D12" s="9"/>
      <c r="E12" s="9"/>
      <c r="F12" s="9"/>
      <c r="G12" s="10"/>
      <c r="H12" s="8"/>
      <c r="I12" s="9"/>
      <c r="J12" s="9"/>
      <c r="K12" s="9"/>
      <c r="L12" s="10"/>
      <c r="M12" s="8"/>
      <c r="N12" s="9"/>
      <c r="O12" s="9"/>
      <c r="P12" s="9"/>
      <c r="Q12" s="10"/>
      <c r="R12" s="8"/>
      <c r="S12" s="9"/>
      <c r="T12" s="9"/>
      <c r="U12" s="9"/>
      <c r="V12" s="10"/>
      <c r="W12" s="8"/>
      <c r="X12" s="9"/>
      <c r="Y12" s="9"/>
      <c r="Z12" s="9"/>
      <c r="AA12" s="10"/>
    </row>
    <row r="13" spans="1:27" hidden="1" outlineLevel="1" x14ac:dyDescent="0.25">
      <c r="A13" s="6" t="s">
        <v>63</v>
      </c>
      <c r="B13">
        <v>15</v>
      </c>
      <c r="C13" s="6">
        <v>0</v>
      </c>
      <c r="D13">
        <v>0</v>
      </c>
      <c r="E13">
        <v>0</v>
      </c>
      <c r="F13">
        <v>0</v>
      </c>
      <c r="G13" s="7">
        <v>0</v>
      </c>
      <c r="H13" s="6">
        <v>0</v>
      </c>
      <c r="I13">
        <v>0</v>
      </c>
      <c r="J13">
        <v>0</v>
      </c>
      <c r="K13">
        <v>0</v>
      </c>
      <c r="L13" s="7">
        <v>0</v>
      </c>
      <c r="M13" s="6">
        <v>0</v>
      </c>
      <c r="N13">
        <v>0</v>
      </c>
      <c r="O13">
        <v>0</v>
      </c>
      <c r="P13">
        <v>0</v>
      </c>
      <c r="Q13" s="7">
        <v>0</v>
      </c>
      <c r="R13" s="6">
        <v>0</v>
      </c>
      <c r="S13">
        <v>0</v>
      </c>
      <c r="T13">
        <v>0</v>
      </c>
      <c r="U13">
        <v>0</v>
      </c>
      <c r="V13" s="7">
        <v>0</v>
      </c>
      <c r="W13" s="6">
        <v>0</v>
      </c>
      <c r="X13">
        <v>0</v>
      </c>
      <c r="Y13">
        <v>0</v>
      </c>
      <c r="Z13">
        <v>0</v>
      </c>
      <c r="AA13" s="7">
        <v>0</v>
      </c>
    </row>
    <row r="14" spans="1:27" hidden="1" outlineLevel="1" x14ac:dyDescent="0.25">
      <c r="A14" s="6" t="s">
        <v>64</v>
      </c>
      <c r="B14">
        <v>7</v>
      </c>
      <c r="C14" s="6">
        <v>0</v>
      </c>
      <c r="D14">
        <v>0</v>
      </c>
      <c r="E14">
        <v>0</v>
      </c>
      <c r="F14">
        <v>0</v>
      </c>
      <c r="G14" s="7">
        <v>1</v>
      </c>
      <c r="H14" s="6">
        <v>0</v>
      </c>
      <c r="I14">
        <v>0</v>
      </c>
      <c r="J14">
        <v>0</v>
      </c>
      <c r="K14">
        <v>0</v>
      </c>
      <c r="L14" s="7">
        <v>0</v>
      </c>
      <c r="M14" s="6">
        <v>1</v>
      </c>
      <c r="N14">
        <v>0</v>
      </c>
      <c r="O14">
        <v>0</v>
      </c>
      <c r="P14">
        <v>0</v>
      </c>
      <c r="Q14" s="7">
        <v>0</v>
      </c>
      <c r="R14" s="6">
        <v>0</v>
      </c>
      <c r="S14">
        <v>0</v>
      </c>
      <c r="T14">
        <v>0</v>
      </c>
      <c r="U14">
        <v>0</v>
      </c>
      <c r="V14" s="7">
        <v>0</v>
      </c>
      <c r="W14" s="6">
        <v>0</v>
      </c>
      <c r="X14">
        <v>0</v>
      </c>
      <c r="Y14">
        <v>0</v>
      </c>
      <c r="Z14">
        <v>0</v>
      </c>
      <c r="AA14" s="7">
        <v>0</v>
      </c>
    </row>
    <row r="15" spans="1:27" hidden="1" outlineLevel="1" x14ac:dyDescent="0.25">
      <c r="A15" s="6" t="s">
        <v>65</v>
      </c>
      <c r="B15">
        <v>3</v>
      </c>
      <c r="C15" s="6">
        <v>6</v>
      </c>
      <c r="D15">
        <v>6</v>
      </c>
      <c r="E15">
        <v>6</v>
      </c>
      <c r="F15">
        <v>5</v>
      </c>
      <c r="G15" s="7">
        <v>4</v>
      </c>
      <c r="H15" s="6">
        <v>7</v>
      </c>
      <c r="I15">
        <v>4</v>
      </c>
      <c r="J15">
        <v>3</v>
      </c>
      <c r="K15">
        <v>5</v>
      </c>
      <c r="L15" s="7">
        <v>6</v>
      </c>
      <c r="M15" s="6">
        <v>7</v>
      </c>
      <c r="N15">
        <v>6</v>
      </c>
      <c r="O15">
        <v>2</v>
      </c>
      <c r="P15">
        <v>1</v>
      </c>
      <c r="Q15" s="7">
        <v>5</v>
      </c>
      <c r="R15" s="6">
        <v>6</v>
      </c>
      <c r="S15">
        <v>4</v>
      </c>
      <c r="T15">
        <v>5</v>
      </c>
      <c r="U15">
        <v>4</v>
      </c>
      <c r="V15" s="7">
        <v>6</v>
      </c>
      <c r="W15" s="6">
        <v>3</v>
      </c>
      <c r="X15">
        <v>2</v>
      </c>
      <c r="Y15">
        <v>3</v>
      </c>
      <c r="Z15">
        <v>4</v>
      </c>
      <c r="AA15" s="7">
        <v>3</v>
      </c>
    </row>
    <row r="16" spans="1:27" hidden="1" outlineLevel="1" x14ac:dyDescent="0.25">
      <c r="A16" s="6" t="s">
        <v>66</v>
      </c>
      <c r="B16">
        <v>-2</v>
      </c>
      <c r="C16" s="6">
        <v>1</v>
      </c>
      <c r="D16">
        <v>1</v>
      </c>
      <c r="E16">
        <v>3</v>
      </c>
      <c r="F16">
        <v>2</v>
      </c>
      <c r="G16" s="7">
        <v>1</v>
      </c>
      <c r="H16" s="6">
        <v>1</v>
      </c>
      <c r="I16">
        <v>1</v>
      </c>
      <c r="J16">
        <v>5</v>
      </c>
      <c r="K16">
        <v>1</v>
      </c>
      <c r="L16" s="7">
        <v>1</v>
      </c>
      <c r="M16" s="6">
        <v>1</v>
      </c>
      <c r="N16">
        <v>2</v>
      </c>
      <c r="O16">
        <v>2</v>
      </c>
      <c r="P16">
        <v>2</v>
      </c>
      <c r="Q16" s="7">
        <v>2</v>
      </c>
      <c r="R16" s="6">
        <v>0</v>
      </c>
      <c r="S16">
        <v>1</v>
      </c>
      <c r="T16">
        <v>2</v>
      </c>
      <c r="U16">
        <v>3</v>
      </c>
      <c r="V16" s="7">
        <v>1</v>
      </c>
      <c r="W16" s="6">
        <v>0</v>
      </c>
      <c r="X16">
        <v>0</v>
      </c>
      <c r="Y16">
        <v>3</v>
      </c>
      <c r="Z16">
        <v>4</v>
      </c>
      <c r="AA16" s="7">
        <v>2</v>
      </c>
    </row>
    <row r="17" spans="1:27" hidden="1" outlineLevel="1" x14ac:dyDescent="0.25">
      <c r="A17" s="6" t="s">
        <v>67</v>
      </c>
      <c r="B17">
        <v>-4</v>
      </c>
      <c r="C17" s="6">
        <v>0</v>
      </c>
      <c r="D17">
        <v>1</v>
      </c>
      <c r="E17">
        <v>0</v>
      </c>
      <c r="F17">
        <v>1</v>
      </c>
      <c r="G17" s="7">
        <v>0</v>
      </c>
      <c r="H17" s="6">
        <v>0</v>
      </c>
      <c r="I17">
        <v>0</v>
      </c>
      <c r="J17">
        <v>0</v>
      </c>
      <c r="K17">
        <v>0</v>
      </c>
      <c r="L17" s="7">
        <v>0</v>
      </c>
      <c r="M17" s="6">
        <v>0</v>
      </c>
      <c r="N17">
        <v>0</v>
      </c>
      <c r="O17">
        <v>0</v>
      </c>
      <c r="P17">
        <v>1</v>
      </c>
      <c r="Q17" s="7">
        <v>0</v>
      </c>
      <c r="R17" s="6">
        <v>0</v>
      </c>
      <c r="S17">
        <v>1</v>
      </c>
      <c r="T17">
        <v>0</v>
      </c>
      <c r="U17">
        <v>0</v>
      </c>
      <c r="V17" s="7">
        <v>0</v>
      </c>
      <c r="W17" s="6">
        <v>0</v>
      </c>
      <c r="X17">
        <v>1</v>
      </c>
      <c r="Y17">
        <v>0</v>
      </c>
      <c r="Z17">
        <v>0</v>
      </c>
      <c r="AA17" s="7">
        <v>0</v>
      </c>
    </row>
    <row r="18" spans="1:27" ht="15.75" hidden="1" outlineLevel="1" thickBot="1" x14ac:dyDescent="0.3">
      <c r="A18" s="11" t="s">
        <v>68</v>
      </c>
      <c r="B18" s="12">
        <v>-6</v>
      </c>
      <c r="C18" s="11">
        <v>0</v>
      </c>
      <c r="D18" s="12">
        <v>0</v>
      </c>
      <c r="E18" s="12">
        <v>0</v>
      </c>
      <c r="F18" s="12">
        <v>0</v>
      </c>
      <c r="G18" s="13">
        <v>0</v>
      </c>
      <c r="H18" s="11">
        <v>0</v>
      </c>
      <c r="I18" s="12">
        <v>0</v>
      </c>
      <c r="J18" s="12">
        <v>0</v>
      </c>
      <c r="K18" s="12">
        <v>0</v>
      </c>
      <c r="L18" s="13">
        <v>0</v>
      </c>
      <c r="M18" s="11">
        <v>0</v>
      </c>
      <c r="N18" s="12">
        <v>0</v>
      </c>
      <c r="O18" s="12">
        <v>0</v>
      </c>
      <c r="P18" s="12">
        <v>0</v>
      </c>
      <c r="Q18" s="13">
        <v>0</v>
      </c>
      <c r="R18" s="11">
        <v>0</v>
      </c>
      <c r="S18" s="12">
        <v>0</v>
      </c>
      <c r="T18" s="12">
        <v>0</v>
      </c>
      <c r="U18" s="12">
        <v>0</v>
      </c>
      <c r="V18" s="13">
        <v>0</v>
      </c>
      <c r="W18" s="11">
        <v>0</v>
      </c>
      <c r="X18" s="12">
        <v>0</v>
      </c>
      <c r="Y18" s="12">
        <v>0</v>
      </c>
      <c r="Z18" s="12">
        <v>0</v>
      </c>
      <c r="AA18" s="13">
        <v>0</v>
      </c>
    </row>
    <row r="19" spans="1:27" ht="15.75" collapsed="1" thickBot="1" x14ac:dyDescent="0.3">
      <c r="C19" s="14">
        <f>(C13*$B13)+(C14*$B14)+(C15*$B15)+(C16*$B16)+(C17*$B17)+(C18*$B18)</f>
        <v>16</v>
      </c>
      <c r="D19" s="14">
        <f t="shared" ref="D19:AA19" si="1">(D13*$B13)+(D14*$B14)+(D15*$B15)+(D16*$B16)+(D17*$B17)+(D18*$B18)</f>
        <v>12</v>
      </c>
      <c r="E19" s="14">
        <f t="shared" si="1"/>
        <v>12</v>
      </c>
      <c r="F19" s="14">
        <f t="shared" si="1"/>
        <v>7</v>
      </c>
      <c r="G19" s="14">
        <f t="shared" si="1"/>
        <v>17</v>
      </c>
      <c r="H19" s="14">
        <f t="shared" si="1"/>
        <v>19</v>
      </c>
      <c r="I19" s="14">
        <f t="shared" si="1"/>
        <v>10</v>
      </c>
      <c r="J19" s="14">
        <f t="shared" si="1"/>
        <v>-1</v>
      </c>
      <c r="K19" s="14">
        <f t="shared" si="1"/>
        <v>13</v>
      </c>
      <c r="L19" s="14">
        <f t="shared" si="1"/>
        <v>16</v>
      </c>
      <c r="M19" s="14">
        <f t="shared" si="1"/>
        <v>26</v>
      </c>
      <c r="N19" s="14">
        <f t="shared" si="1"/>
        <v>14</v>
      </c>
      <c r="O19" s="14">
        <f t="shared" si="1"/>
        <v>2</v>
      </c>
      <c r="P19" s="14">
        <f t="shared" si="1"/>
        <v>-5</v>
      </c>
      <c r="Q19" s="15">
        <f t="shared" si="1"/>
        <v>11</v>
      </c>
      <c r="R19" s="14">
        <f t="shared" si="1"/>
        <v>18</v>
      </c>
      <c r="S19" s="14">
        <f t="shared" si="1"/>
        <v>6</v>
      </c>
      <c r="T19" s="14">
        <f t="shared" si="1"/>
        <v>11</v>
      </c>
      <c r="U19" s="14">
        <f t="shared" si="1"/>
        <v>6</v>
      </c>
      <c r="V19" s="15">
        <f t="shared" si="1"/>
        <v>16</v>
      </c>
      <c r="W19" s="14">
        <f t="shared" si="1"/>
        <v>9</v>
      </c>
      <c r="X19" s="14">
        <f t="shared" si="1"/>
        <v>2</v>
      </c>
      <c r="Y19" s="14">
        <f t="shared" si="1"/>
        <v>3</v>
      </c>
      <c r="Z19" s="14">
        <f t="shared" si="1"/>
        <v>4</v>
      </c>
      <c r="AA19" s="15">
        <f t="shared" si="1"/>
        <v>5</v>
      </c>
    </row>
    <row r="20" spans="1:27" x14ac:dyDescent="0.25">
      <c r="A20" s="8" t="s">
        <v>70</v>
      </c>
      <c r="B20" s="9"/>
      <c r="C20" s="8"/>
      <c r="D20" s="9"/>
      <c r="E20" s="9"/>
      <c r="F20" s="9"/>
      <c r="G20" s="10"/>
      <c r="H20" s="8"/>
      <c r="I20" s="9"/>
      <c r="J20" s="9"/>
      <c r="K20" s="9"/>
      <c r="L20" s="10"/>
      <c r="M20" s="8"/>
      <c r="N20" s="9"/>
      <c r="O20" s="9"/>
      <c r="P20" s="9"/>
      <c r="Q20" s="10"/>
      <c r="R20" s="8"/>
      <c r="S20" s="9"/>
      <c r="T20" s="9"/>
      <c r="U20" s="9"/>
      <c r="V20" s="10"/>
      <c r="W20" s="8"/>
      <c r="X20" s="9"/>
      <c r="Y20" s="9"/>
      <c r="Z20" s="9"/>
      <c r="AA20" s="10"/>
    </row>
    <row r="21" spans="1:27" outlineLevel="1" x14ac:dyDescent="0.25">
      <c r="A21" s="6" t="s">
        <v>63</v>
      </c>
      <c r="B21">
        <v>15</v>
      </c>
      <c r="C21" s="6">
        <v>0</v>
      </c>
      <c r="D21">
        <v>0</v>
      </c>
      <c r="E21">
        <v>0</v>
      </c>
      <c r="G21" s="7">
        <v>0</v>
      </c>
      <c r="H21" s="6">
        <v>0</v>
      </c>
      <c r="I21">
        <v>0</v>
      </c>
      <c r="K21">
        <v>0</v>
      </c>
      <c r="L21" s="7">
        <v>0</v>
      </c>
      <c r="M21" s="6">
        <v>0</v>
      </c>
      <c r="N21">
        <v>0</v>
      </c>
      <c r="P21">
        <v>0</v>
      </c>
      <c r="Q21" s="7"/>
      <c r="R21" s="6">
        <v>0</v>
      </c>
      <c r="S21">
        <v>0</v>
      </c>
      <c r="U21">
        <v>0</v>
      </c>
      <c r="V21" s="7"/>
      <c r="W21" s="6">
        <v>0</v>
      </c>
      <c r="Z21">
        <v>0</v>
      </c>
      <c r="AA21" s="7"/>
    </row>
    <row r="22" spans="1:27" outlineLevel="1" x14ac:dyDescent="0.25">
      <c r="A22" s="6" t="s">
        <v>64</v>
      </c>
      <c r="B22">
        <v>7</v>
      </c>
      <c r="C22" s="6">
        <v>1</v>
      </c>
      <c r="D22">
        <v>1</v>
      </c>
      <c r="E22">
        <v>0</v>
      </c>
      <c r="G22" s="7">
        <v>0</v>
      </c>
      <c r="H22" s="6">
        <v>0</v>
      </c>
      <c r="I22">
        <v>0</v>
      </c>
      <c r="K22">
        <v>0</v>
      </c>
      <c r="L22" s="7">
        <v>0</v>
      </c>
      <c r="M22" s="6">
        <v>0</v>
      </c>
      <c r="N22">
        <v>0</v>
      </c>
      <c r="P22">
        <v>0</v>
      </c>
      <c r="Q22" s="7"/>
      <c r="R22" s="6">
        <v>0</v>
      </c>
      <c r="S22">
        <v>0</v>
      </c>
      <c r="U22">
        <v>0</v>
      </c>
      <c r="V22" s="7"/>
      <c r="W22" s="6">
        <v>1</v>
      </c>
      <c r="Z22">
        <v>0</v>
      </c>
      <c r="AA22" s="7"/>
    </row>
    <row r="23" spans="1:27" outlineLevel="1" x14ac:dyDescent="0.25">
      <c r="A23" s="6" t="s">
        <v>65</v>
      </c>
      <c r="B23">
        <v>3</v>
      </c>
      <c r="C23" s="6">
        <v>5</v>
      </c>
      <c r="D23">
        <v>2</v>
      </c>
      <c r="E23">
        <v>5</v>
      </c>
      <c r="G23" s="7">
        <v>7</v>
      </c>
      <c r="H23" s="6">
        <v>5</v>
      </c>
      <c r="I23">
        <v>4</v>
      </c>
      <c r="K23">
        <v>3</v>
      </c>
      <c r="L23" s="7">
        <v>1</v>
      </c>
      <c r="M23" s="6">
        <v>5</v>
      </c>
      <c r="N23">
        <v>7</v>
      </c>
      <c r="P23">
        <v>3</v>
      </c>
      <c r="Q23" s="7"/>
      <c r="R23" s="6">
        <v>6</v>
      </c>
      <c r="S23">
        <v>5</v>
      </c>
      <c r="U23">
        <v>4</v>
      </c>
      <c r="V23" s="7"/>
      <c r="W23" s="6">
        <v>3</v>
      </c>
      <c r="Z23">
        <v>2</v>
      </c>
      <c r="AA23" s="7"/>
    </row>
    <row r="24" spans="1:27" outlineLevel="1" x14ac:dyDescent="0.25">
      <c r="A24" s="6" t="s">
        <v>66</v>
      </c>
      <c r="B24">
        <v>-2</v>
      </c>
      <c r="C24" s="6">
        <v>0</v>
      </c>
      <c r="D24">
        <v>3</v>
      </c>
      <c r="E24">
        <v>2</v>
      </c>
      <c r="G24" s="7">
        <v>0</v>
      </c>
      <c r="H24" s="6">
        <v>1</v>
      </c>
      <c r="I24">
        <v>2</v>
      </c>
      <c r="K24">
        <v>3</v>
      </c>
      <c r="L24" s="7">
        <v>3</v>
      </c>
      <c r="M24" s="6">
        <v>0</v>
      </c>
      <c r="N24">
        <v>0</v>
      </c>
      <c r="P24">
        <v>2</v>
      </c>
      <c r="Q24" s="7"/>
      <c r="R24" s="6">
        <v>4</v>
      </c>
      <c r="S24">
        <v>1</v>
      </c>
      <c r="U24">
        <v>0</v>
      </c>
      <c r="V24" s="7"/>
      <c r="W24" s="6">
        <v>3</v>
      </c>
      <c r="Z24">
        <v>0</v>
      </c>
      <c r="AA24" s="7"/>
    </row>
    <row r="25" spans="1:27" outlineLevel="1" x14ac:dyDescent="0.25">
      <c r="A25" s="6" t="s">
        <v>67</v>
      </c>
      <c r="B25">
        <v>-4</v>
      </c>
      <c r="C25" s="6">
        <v>0</v>
      </c>
      <c r="D25">
        <v>0</v>
      </c>
      <c r="E25">
        <v>0</v>
      </c>
      <c r="G25" s="7">
        <v>0</v>
      </c>
      <c r="H25" s="6">
        <v>0</v>
      </c>
      <c r="I25">
        <v>0</v>
      </c>
      <c r="K25">
        <v>0</v>
      </c>
      <c r="L25" s="7">
        <v>0</v>
      </c>
      <c r="M25" s="6">
        <v>0</v>
      </c>
      <c r="N25">
        <v>0</v>
      </c>
      <c r="P25">
        <v>0</v>
      </c>
      <c r="Q25" s="7"/>
      <c r="R25" s="6">
        <v>0</v>
      </c>
      <c r="S25">
        <v>0</v>
      </c>
      <c r="U25">
        <v>0</v>
      </c>
      <c r="V25" s="7"/>
      <c r="W25" s="6">
        <v>0</v>
      </c>
      <c r="Z25">
        <v>0</v>
      </c>
      <c r="AA25" s="7"/>
    </row>
    <row r="26" spans="1:27" ht="15.75" outlineLevel="1" thickBot="1" x14ac:dyDescent="0.3">
      <c r="A26" s="11" t="s">
        <v>68</v>
      </c>
      <c r="B26" s="12">
        <v>-6</v>
      </c>
      <c r="C26" s="11">
        <v>0</v>
      </c>
      <c r="D26" s="12">
        <v>0</v>
      </c>
      <c r="E26" s="12">
        <v>0</v>
      </c>
      <c r="F26" s="12"/>
      <c r="G26" s="13">
        <v>0</v>
      </c>
      <c r="H26" s="11">
        <v>0</v>
      </c>
      <c r="I26" s="12">
        <v>0</v>
      </c>
      <c r="J26" s="12"/>
      <c r="K26" s="12">
        <v>0</v>
      </c>
      <c r="L26" s="13">
        <v>0</v>
      </c>
      <c r="M26" s="11">
        <v>0</v>
      </c>
      <c r="N26" s="12">
        <v>0</v>
      </c>
      <c r="O26" s="12"/>
      <c r="P26" s="12">
        <v>0</v>
      </c>
      <c r="Q26" s="13"/>
      <c r="R26" s="11">
        <v>0</v>
      </c>
      <c r="S26" s="12">
        <v>0</v>
      </c>
      <c r="T26" s="12"/>
      <c r="U26" s="12">
        <v>0</v>
      </c>
      <c r="V26" s="13"/>
      <c r="W26" s="11">
        <v>0</v>
      </c>
      <c r="X26" s="12"/>
      <c r="Y26" s="12"/>
      <c r="Z26" s="12">
        <v>0</v>
      </c>
      <c r="AA26" s="13"/>
    </row>
    <row r="27" spans="1:27" ht="15.75" thickBot="1" x14ac:dyDescent="0.3">
      <c r="C27" s="14">
        <f>(C21*$B21)+(C22*$B22)+(C23*$B23)+(C24*$B24)+(C25*$B25)+(C26*$B26)</f>
        <v>22</v>
      </c>
      <c r="D27" s="14">
        <f t="shared" ref="D27:AA27" si="2">(D21*$B21)+(D22*$B22)+(D23*$B23)+(D24*$B24)+(D25*$B25)+(D26*$B26)</f>
        <v>7</v>
      </c>
      <c r="E27" s="14">
        <f t="shared" si="2"/>
        <v>11</v>
      </c>
      <c r="F27" s="14">
        <f t="shared" si="2"/>
        <v>0</v>
      </c>
      <c r="G27" s="14">
        <f t="shared" si="2"/>
        <v>21</v>
      </c>
      <c r="H27" s="14">
        <f t="shared" si="2"/>
        <v>13</v>
      </c>
      <c r="I27" s="14">
        <f t="shared" si="2"/>
        <v>8</v>
      </c>
      <c r="J27" s="14">
        <f t="shared" si="2"/>
        <v>0</v>
      </c>
      <c r="K27" s="14">
        <f t="shared" si="2"/>
        <v>3</v>
      </c>
      <c r="L27" s="14">
        <f t="shared" si="2"/>
        <v>-3</v>
      </c>
      <c r="M27" s="14">
        <f t="shared" si="2"/>
        <v>15</v>
      </c>
      <c r="N27" s="14">
        <f t="shared" si="2"/>
        <v>21</v>
      </c>
      <c r="O27" s="14">
        <f t="shared" si="2"/>
        <v>0</v>
      </c>
      <c r="P27" s="14">
        <f t="shared" si="2"/>
        <v>5</v>
      </c>
      <c r="Q27" s="15">
        <f t="shared" si="2"/>
        <v>0</v>
      </c>
      <c r="R27" s="14">
        <f t="shared" si="2"/>
        <v>10</v>
      </c>
      <c r="S27" s="14">
        <f t="shared" si="2"/>
        <v>13</v>
      </c>
      <c r="T27" s="14">
        <f t="shared" si="2"/>
        <v>0</v>
      </c>
      <c r="U27" s="14">
        <f t="shared" si="2"/>
        <v>12</v>
      </c>
      <c r="V27" s="15">
        <f t="shared" si="2"/>
        <v>0</v>
      </c>
      <c r="W27" s="14">
        <f t="shared" si="2"/>
        <v>10</v>
      </c>
      <c r="X27" s="14">
        <f t="shared" si="2"/>
        <v>0</v>
      </c>
      <c r="Y27" s="14">
        <f t="shared" si="2"/>
        <v>0</v>
      </c>
      <c r="Z27" s="14">
        <f t="shared" si="2"/>
        <v>6</v>
      </c>
      <c r="AA27" s="15">
        <f t="shared" si="2"/>
        <v>0</v>
      </c>
    </row>
    <row r="28" spans="1:27" x14ac:dyDescent="0.25">
      <c r="A28" s="8" t="s">
        <v>71</v>
      </c>
      <c r="B28" s="9"/>
      <c r="C28" s="8"/>
      <c r="D28" s="9"/>
      <c r="E28" s="9"/>
      <c r="F28" s="9"/>
      <c r="G28" s="10"/>
      <c r="H28" s="8"/>
      <c r="I28" s="9"/>
      <c r="J28" s="9"/>
      <c r="K28" s="9"/>
      <c r="L28" s="10"/>
      <c r="M28" s="8"/>
      <c r="N28" s="9"/>
      <c r="O28" s="9"/>
      <c r="P28" s="9"/>
      <c r="Q28" s="10"/>
      <c r="R28" s="8"/>
      <c r="S28" s="9"/>
      <c r="T28" s="9"/>
      <c r="U28" s="9"/>
      <c r="V28" s="10"/>
      <c r="W28" s="8"/>
      <c r="X28" s="9"/>
      <c r="Y28" s="9"/>
      <c r="Z28" s="9"/>
      <c r="AA28" s="10"/>
    </row>
    <row r="29" spans="1:27" outlineLevel="1" x14ac:dyDescent="0.25">
      <c r="A29" s="6" t="s">
        <v>63</v>
      </c>
      <c r="B29">
        <v>15</v>
      </c>
      <c r="C29" s="6">
        <v>0</v>
      </c>
      <c r="D29">
        <v>0</v>
      </c>
      <c r="E29">
        <v>0</v>
      </c>
      <c r="G29" s="7">
        <v>0</v>
      </c>
      <c r="H29" s="6">
        <v>0</v>
      </c>
      <c r="I29">
        <v>0</v>
      </c>
      <c r="K29">
        <v>0</v>
      </c>
      <c r="L29" s="7">
        <v>0</v>
      </c>
      <c r="M29" s="6">
        <v>0</v>
      </c>
      <c r="N29">
        <v>0</v>
      </c>
      <c r="P29">
        <v>0</v>
      </c>
      <c r="Q29" s="7"/>
      <c r="R29" s="6">
        <v>0</v>
      </c>
      <c r="S29">
        <v>0</v>
      </c>
      <c r="U29">
        <v>0</v>
      </c>
      <c r="V29" s="7"/>
      <c r="W29" s="6">
        <v>0</v>
      </c>
      <c r="Z29">
        <v>0</v>
      </c>
      <c r="AA29" s="7"/>
    </row>
    <row r="30" spans="1:27" outlineLevel="1" x14ac:dyDescent="0.25">
      <c r="A30" s="6" t="s">
        <v>64</v>
      </c>
      <c r="B30">
        <v>7</v>
      </c>
      <c r="C30" s="6">
        <v>1</v>
      </c>
      <c r="D30">
        <v>0</v>
      </c>
      <c r="E30">
        <v>0</v>
      </c>
      <c r="G30" s="7">
        <v>0</v>
      </c>
      <c r="H30" s="6">
        <v>0</v>
      </c>
      <c r="I30">
        <v>0</v>
      </c>
      <c r="K30">
        <v>0</v>
      </c>
      <c r="L30" s="7">
        <v>0</v>
      </c>
      <c r="M30" s="6">
        <v>0</v>
      </c>
      <c r="N30">
        <v>1</v>
      </c>
      <c r="P30">
        <v>0</v>
      </c>
      <c r="Q30" s="7"/>
      <c r="R30" s="6">
        <v>1</v>
      </c>
      <c r="S30">
        <v>0</v>
      </c>
      <c r="U30">
        <v>0</v>
      </c>
      <c r="V30" s="7"/>
      <c r="W30" s="6">
        <v>0</v>
      </c>
      <c r="Z30">
        <v>0</v>
      </c>
      <c r="AA30" s="7"/>
    </row>
    <row r="31" spans="1:27" outlineLevel="1" x14ac:dyDescent="0.25">
      <c r="A31" s="6" t="s">
        <v>65</v>
      </c>
      <c r="B31">
        <v>3</v>
      </c>
      <c r="C31" s="6">
        <v>2</v>
      </c>
      <c r="D31">
        <v>4</v>
      </c>
      <c r="E31">
        <v>6</v>
      </c>
      <c r="G31" s="7">
        <v>2</v>
      </c>
      <c r="H31" s="6">
        <v>4</v>
      </c>
      <c r="I31">
        <v>2</v>
      </c>
      <c r="K31">
        <v>5</v>
      </c>
      <c r="L31" s="7">
        <v>5</v>
      </c>
      <c r="M31" s="6">
        <v>7</v>
      </c>
      <c r="N31">
        <v>4</v>
      </c>
      <c r="P31">
        <v>3</v>
      </c>
      <c r="Q31" s="7"/>
      <c r="R31" s="6">
        <v>4</v>
      </c>
      <c r="S31">
        <v>8</v>
      </c>
      <c r="U31">
        <v>2</v>
      </c>
      <c r="V31" s="7"/>
      <c r="W31" s="6">
        <v>5</v>
      </c>
      <c r="Z31">
        <v>3</v>
      </c>
      <c r="AA31" s="7"/>
    </row>
    <row r="32" spans="1:27" outlineLevel="1" x14ac:dyDescent="0.25">
      <c r="A32" s="6" t="s">
        <v>66</v>
      </c>
      <c r="B32">
        <v>-2</v>
      </c>
      <c r="C32" s="6">
        <v>4</v>
      </c>
      <c r="D32">
        <v>3</v>
      </c>
      <c r="E32">
        <v>1</v>
      </c>
      <c r="G32" s="7">
        <v>3</v>
      </c>
      <c r="H32" s="6">
        <v>2</v>
      </c>
      <c r="I32">
        <v>1</v>
      </c>
      <c r="K32">
        <v>2</v>
      </c>
      <c r="L32" s="7">
        <v>3</v>
      </c>
      <c r="M32" s="6">
        <v>3</v>
      </c>
      <c r="N32">
        <v>2</v>
      </c>
      <c r="P32">
        <v>3</v>
      </c>
      <c r="Q32" s="7"/>
      <c r="R32" s="6">
        <v>3</v>
      </c>
      <c r="S32">
        <v>2</v>
      </c>
      <c r="U32">
        <v>0</v>
      </c>
      <c r="V32" s="7"/>
      <c r="W32" s="6">
        <v>2</v>
      </c>
      <c r="Z32">
        <v>1</v>
      </c>
      <c r="AA32" s="7"/>
    </row>
    <row r="33" spans="1:27" outlineLevel="1" x14ac:dyDescent="0.25">
      <c r="A33" s="6" t="s">
        <v>67</v>
      </c>
      <c r="B33">
        <v>-4</v>
      </c>
      <c r="C33" s="6">
        <v>0</v>
      </c>
      <c r="D33">
        <v>0</v>
      </c>
      <c r="E33">
        <v>0</v>
      </c>
      <c r="G33" s="7">
        <v>0</v>
      </c>
      <c r="H33" s="6">
        <v>0</v>
      </c>
      <c r="I33">
        <v>0</v>
      </c>
      <c r="K33">
        <v>0</v>
      </c>
      <c r="L33" s="7">
        <v>0</v>
      </c>
      <c r="M33" s="6">
        <v>0</v>
      </c>
      <c r="N33">
        <v>1</v>
      </c>
      <c r="P33">
        <v>0</v>
      </c>
      <c r="Q33" s="7"/>
      <c r="R33" s="6">
        <v>0</v>
      </c>
      <c r="S33">
        <v>0</v>
      </c>
      <c r="U33">
        <v>0</v>
      </c>
      <c r="V33" s="7"/>
      <c r="W33" s="6">
        <v>1</v>
      </c>
      <c r="Z33">
        <v>0</v>
      </c>
      <c r="AA33" s="7"/>
    </row>
    <row r="34" spans="1:27" ht="15.75" outlineLevel="1" thickBot="1" x14ac:dyDescent="0.3">
      <c r="A34" s="11" t="s">
        <v>68</v>
      </c>
      <c r="B34" s="12">
        <v>-6</v>
      </c>
      <c r="C34" s="11">
        <v>0</v>
      </c>
      <c r="D34" s="12">
        <v>0</v>
      </c>
      <c r="E34" s="12">
        <v>0</v>
      </c>
      <c r="F34" s="12"/>
      <c r="G34" s="13">
        <v>0</v>
      </c>
      <c r="H34" s="11">
        <v>0</v>
      </c>
      <c r="I34" s="12">
        <v>0</v>
      </c>
      <c r="J34" s="12"/>
      <c r="K34" s="12">
        <v>0</v>
      </c>
      <c r="L34" s="13">
        <v>0</v>
      </c>
      <c r="M34" s="11">
        <v>0</v>
      </c>
      <c r="N34" s="12">
        <v>0</v>
      </c>
      <c r="O34" s="12"/>
      <c r="P34" s="12">
        <v>0</v>
      </c>
      <c r="Q34" s="13"/>
      <c r="R34" s="11">
        <v>0</v>
      </c>
      <c r="S34" s="12">
        <v>0</v>
      </c>
      <c r="T34" s="12"/>
      <c r="U34" s="12">
        <v>0</v>
      </c>
      <c r="V34" s="13"/>
      <c r="W34" s="11">
        <v>0</v>
      </c>
      <c r="X34" s="12"/>
      <c r="Y34" s="12"/>
      <c r="Z34" s="12">
        <v>0</v>
      </c>
      <c r="AA34" s="13"/>
    </row>
    <row r="35" spans="1:27" ht="15.75" thickBot="1" x14ac:dyDescent="0.3">
      <c r="C35" s="14">
        <f>(C29*$B29)+(C30*$B30)+(C31*$B31)+(C32*$B32)+(C33*$B33)+(C34*$B34)</f>
        <v>5</v>
      </c>
      <c r="D35" s="14">
        <f t="shared" ref="D35:AA35" si="3">(D29*$B29)+(D30*$B30)+(D31*$B31)+(D32*$B32)+(D33*$B33)+(D34*$B34)</f>
        <v>6</v>
      </c>
      <c r="E35" s="14">
        <f t="shared" si="3"/>
        <v>16</v>
      </c>
      <c r="F35" s="14">
        <f t="shared" si="3"/>
        <v>0</v>
      </c>
      <c r="G35" s="14">
        <f t="shared" si="3"/>
        <v>0</v>
      </c>
      <c r="H35" s="14">
        <f t="shared" si="3"/>
        <v>8</v>
      </c>
      <c r="I35" s="14">
        <f t="shared" si="3"/>
        <v>4</v>
      </c>
      <c r="J35" s="14">
        <f t="shared" si="3"/>
        <v>0</v>
      </c>
      <c r="K35" s="14">
        <f t="shared" si="3"/>
        <v>11</v>
      </c>
      <c r="L35" s="14">
        <f t="shared" si="3"/>
        <v>9</v>
      </c>
      <c r="M35" s="14">
        <f t="shared" si="3"/>
        <v>15</v>
      </c>
      <c r="N35" s="14">
        <f t="shared" si="3"/>
        <v>11</v>
      </c>
      <c r="O35" s="14">
        <f t="shared" si="3"/>
        <v>0</v>
      </c>
      <c r="P35" s="14">
        <f t="shared" si="3"/>
        <v>3</v>
      </c>
      <c r="Q35" s="15">
        <f t="shared" si="3"/>
        <v>0</v>
      </c>
      <c r="R35" s="14">
        <f t="shared" si="3"/>
        <v>13</v>
      </c>
      <c r="S35" s="14">
        <f t="shared" si="3"/>
        <v>20</v>
      </c>
      <c r="T35" s="14">
        <f t="shared" si="3"/>
        <v>0</v>
      </c>
      <c r="U35" s="14">
        <f t="shared" si="3"/>
        <v>6</v>
      </c>
      <c r="V35" s="15">
        <f t="shared" si="3"/>
        <v>0</v>
      </c>
      <c r="W35" s="14">
        <f t="shared" si="3"/>
        <v>7</v>
      </c>
      <c r="X35" s="14">
        <f t="shared" si="3"/>
        <v>0</v>
      </c>
      <c r="Y35" s="14">
        <f t="shared" si="3"/>
        <v>0</v>
      </c>
      <c r="Z35" s="14">
        <f t="shared" si="3"/>
        <v>7</v>
      </c>
      <c r="AA35" s="15">
        <f t="shared" si="3"/>
        <v>0</v>
      </c>
    </row>
    <row r="36" spans="1:27" x14ac:dyDescent="0.25">
      <c r="A36" s="8" t="s">
        <v>72</v>
      </c>
      <c r="B36" s="9"/>
      <c r="C36" s="8"/>
      <c r="D36" s="9"/>
      <c r="E36" s="9"/>
      <c r="F36" s="9"/>
      <c r="G36" s="10"/>
      <c r="H36" s="8"/>
      <c r="I36" s="9"/>
      <c r="J36" s="9"/>
      <c r="K36" s="9"/>
      <c r="L36" s="10"/>
      <c r="M36" s="8"/>
      <c r="N36" s="9"/>
      <c r="O36" s="9"/>
      <c r="P36" s="9"/>
      <c r="Q36" s="10"/>
      <c r="R36" s="8"/>
      <c r="S36" s="9"/>
      <c r="T36" s="9"/>
      <c r="U36" s="9"/>
      <c r="V36" s="10"/>
      <c r="W36" s="8"/>
      <c r="X36" s="9"/>
      <c r="Y36" s="9"/>
      <c r="Z36" s="9"/>
      <c r="AA36" s="10"/>
    </row>
    <row r="37" spans="1:27" outlineLevel="1" x14ac:dyDescent="0.25">
      <c r="A37" s="6" t="s">
        <v>73</v>
      </c>
      <c r="B37">
        <v>50</v>
      </c>
      <c r="C37" s="6"/>
      <c r="G37" s="7"/>
      <c r="H37" s="6"/>
      <c r="L37" s="7"/>
      <c r="M37" s="6">
        <v>1</v>
      </c>
      <c r="Q37" s="7"/>
      <c r="R37" s="6"/>
      <c r="V37" s="7"/>
      <c r="W37" s="6"/>
      <c r="AA37" s="7"/>
    </row>
    <row r="38" spans="1:27" outlineLevel="1" x14ac:dyDescent="0.25">
      <c r="A38" s="6" t="s">
        <v>74</v>
      </c>
      <c r="B38">
        <v>35</v>
      </c>
      <c r="C38" s="6"/>
      <c r="G38" s="7"/>
      <c r="H38" s="6"/>
      <c r="L38" s="7"/>
      <c r="M38" s="6"/>
      <c r="Q38" s="7"/>
      <c r="R38" s="6"/>
      <c r="V38" s="7"/>
      <c r="W38" s="6"/>
      <c r="AA38" s="7"/>
    </row>
    <row r="39" spans="1:27" outlineLevel="1" x14ac:dyDescent="0.25">
      <c r="A39" s="6" t="s">
        <v>75</v>
      </c>
      <c r="B39">
        <v>30</v>
      </c>
      <c r="C39" s="6"/>
      <c r="G39" s="7"/>
      <c r="H39" s="6"/>
      <c r="L39" s="7"/>
      <c r="M39" s="6"/>
      <c r="N39">
        <v>1</v>
      </c>
      <c r="Q39" s="7"/>
      <c r="R39" s="6"/>
      <c r="V39" s="7"/>
      <c r="W39" s="6"/>
      <c r="AA39" s="7"/>
    </row>
    <row r="40" spans="1:27" outlineLevel="1" x14ac:dyDescent="0.25">
      <c r="A40" s="6" t="s">
        <v>76</v>
      </c>
      <c r="B40">
        <v>25</v>
      </c>
      <c r="C40" s="6"/>
      <c r="G40" s="7"/>
      <c r="H40" s="6">
        <v>1</v>
      </c>
      <c r="L40" s="7"/>
      <c r="M40" s="6"/>
      <c r="Q40" s="7"/>
      <c r="R40" s="6"/>
      <c r="V40" s="7"/>
      <c r="W40" s="6"/>
      <c r="AA40" s="7"/>
    </row>
    <row r="41" spans="1:27" outlineLevel="1" x14ac:dyDescent="0.25">
      <c r="A41" s="6" t="s">
        <v>77</v>
      </c>
      <c r="B41">
        <v>20</v>
      </c>
      <c r="C41" s="6">
        <v>1</v>
      </c>
      <c r="G41" s="7"/>
      <c r="H41" s="6"/>
      <c r="L41" s="7"/>
      <c r="M41" s="6"/>
      <c r="Q41" s="7"/>
      <c r="R41" s="6"/>
      <c r="V41" s="7"/>
      <c r="W41" s="6"/>
      <c r="AA41" s="7"/>
    </row>
    <row r="42" spans="1:27" outlineLevel="1" x14ac:dyDescent="0.25">
      <c r="A42" s="6" t="s">
        <v>78</v>
      </c>
      <c r="B42">
        <v>15</v>
      </c>
      <c r="C42" s="6"/>
      <c r="G42" s="7"/>
      <c r="H42" s="6"/>
      <c r="L42" s="7"/>
      <c r="M42" s="6"/>
      <c r="Q42" s="7"/>
      <c r="R42" s="6"/>
      <c r="S42">
        <v>1</v>
      </c>
      <c r="V42" s="7"/>
      <c r="W42" s="6"/>
      <c r="AA42" s="7"/>
    </row>
    <row r="43" spans="1:27" outlineLevel="1" x14ac:dyDescent="0.25">
      <c r="A43" s="6" t="s">
        <v>79</v>
      </c>
      <c r="B43">
        <v>14</v>
      </c>
      <c r="C43" s="6"/>
      <c r="G43" s="7"/>
      <c r="H43" s="6"/>
      <c r="L43" s="7"/>
      <c r="M43" s="6"/>
      <c r="Q43" s="7"/>
      <c r="R43" s="6">
        <v>1</v>
      </c>
      <c r="V43" s="7"/>
      <c r="W43" s="6"/>
      <c r="AA43" s="7"/>
    </row>
    <row r="44" spans="1:27" outlineLevel="1" x14ac:dyDescent="0.25">
      <c r="A44" s="6" t="s">
        <v>80</v>
      </c>
      <c r="B44">
        <v>13</v>
      </c>
      <c r="C44" s="6"/>
      <c r="G44" s="7"/>
      <c r="H44" s="6"/>
      <c r="L44" s="7"/>
      <c r="M44" s="6"/>
      <c r="Q44" s="7"/>
      <c r="R44" s="6"/>
      <c r="V44" s="7"/>
      <c r="W44" s="6"/>
      <c r="AA44" s="7"/>
    </row>
    <row r="45" spans="1:27" outlineLevel="1" x14ac:dyDescent="0.25">
      <c r="A45" s="6" t="s">
        <v>81</v>
      </c>
      <c r="B45">
        <v>12</v>
      </c>
      <c r="C45" s="6"/>
      <c r="G45" s="7"/>
      <c r="H45" s="6"/>
      <c r="L45" s="7"/>
      <c r="M45" s="6"/>
      <c r="Q45" s="7"/>
      <c r="R45" s="6"/>
      <c r="V45" s="7"/>
      <c r="W45" s="6"/>
      <c r="AA45" s="7"/>
    </row>
    <row r="46" spans="1:27" outlineLevel="1" x14ac:dyDescent="0.25">
      <c r="A46" s="6" t="s">
        <v>82</v>
      </c>
      <c r="B46">
        <v>11</v>
      </c>
      <c r="C46" s="6"/>
      <c r="G46" s="7"/>
      <c r="H46" s="6"/>
      <c r="L46" s="7"/>
      <c r="M46" s="6"/>
      <c r="Q46" s="7"/>
      <c r="R46" s="6"/>
      <c r="V46" s="7"/>
      <c r="W46" s="6"/>
      <c r="AA46" s="7"/>
    </row>
    <row r="47" spans="1:27" outlineLevel="1" x14ac:dyDescent="0.25">
      <c r="A47" s="6" t="s">
        <v>83</v>
      </c>
      <c r="B47">
        <v>10</v>
      </c>
      <c r="C47" s="6"/>
      <c r="E47">
        <v>1</v>
      </c>
      <c r="G47" s="7"/>
      <c r="H47" s="6"/>
      <c r="K47">
        <v>1</v>
      </c>
      <c r="L47" s="7"/>
      <c r="M47" s="6"/>
      <c r="Q47" s="7"/>
      <c r="R47" s="6"/>
      <c r="V47" s="7"/>
      <c r="W47" s="6"/>
      <c r="AA47" s="7"/>
    </row>
    <row r="48" spans="1:27" outlineLevel="1" x14ac:dyDescent="0.25">
      <c r="A48" s="6" t="s">
        <v>84</v>
      </c>
      <c r="B48">
        <v>5</v>
      </c>
      <c r="C48" s="6"/>
      <c r="G48" s="7">
        <v>1</v>
      </c>
      <c r="H48" s="6"/>
      <c r="L48" s="7"/>
      <c r="M48" s="6"/>
      <c r="Q48" s="7"/>
      <c r="R48" s="6"/>
      <c r="U48">
        <v>1</v>
      </c>
      <c r="V48" s="7"/>
      <c r="W48" s="6"/>
      <c r="Z48">
        <v>1</v>
      </c>
      <c r="AA48" s="7"/>
    </row>
    <row r="49" spans="1:27" outlineLevel="1" x14ac:dyDescent="0.25">
      <c r="A49" s="6" t="s">
        <v>85</v>
      </c>
      <c r="B49">
        <v>4</v>
      </c>
      <c r="C49" s="6"/>
      <c r="G49" s="7"/>
      <c r="H49" s="6"/>
      <c r="L49" s="7"/>
      <c r="M49" s="6"/>
      <c r="Q49" s="7"/>
      <c r="R49" s="6"/>
      <c r="V49" s="7"/>
      <c r="W49" s="6"/>
      <c r="AA49" s="7"/>
    </row>
    <row r="50" spans="1:27" outlineLevel="1" x14ac:dyDescent="0.25">
      <c r="A50" s="6" t="s">
        <v>86</v>
      </c>
      <c r="B50">
        <v>3</v>
      </c>
      <c r="C50" s="6"/>
      <c r="D50">
        <v>1</v>
      </c>
      <c r="G50" s="7"/>
      <c r="H50" s="6"/>
      <c r="I50">
        <v>1</v>
      </c>
      <c r="L50" s="7"/>
      <c r="M50" s="6"/>
      <c r="P50">
        <v>1</v>
      </c>
      <c r="Q50" s="7"/>
      <c r="R50" s="6"/>
      <c r="V50" s="7"/>
      <c r="W50" s="6"/>
      <c r="AA50" s="7"/>
    </row>
    <row r="51" spans="1:27" outlineLevel="1" x14ac:dyDescent="0.25">
      <c r="A51" s="6" t="s">
        <v>87</v>
      </c>
      <c r="B51">
        <v>2</v>
      </c>
      <c r="C51" s="6"/>
      <c r="G51" s="7"/>
      <c r="H51" s="6"/>
      <c r="L51" s="7"/>
      <c r="M51" s="6"/>
      <c r="Q51" s="7"/>
      <c r="R51" s="6"/>
      <c r="V51" s="7"/>
      <c r="W51" s="6"/>
      <c r="AA51" s="7"/>
    </row>
    <row r="52" spans="1:27" ht="15.75" outlineLevel="1" thickBot="1" x14ac:dyDescent="0.3">
      <c r="A52" s="11" t="s">
        <v>88</v>
      </c>
      <c r="B52" s="12">
        <v>1</v>
      </c>
      <c r="C52" s="11"/>
      <c r="D52" s="12"/>
      <c r="E52" s="12"/>
      <c r="F52" s="12"/>
      <c r="G52" s="13"/>
      <c r="H52" s="11"/>
      <c r="I52" s="12"/>
      <c r="J52" s="12"/>
      <c r="K52" s="12"/>
      <c r="L52" s="13"/>
      <c r="M52" s="11"/>
      <c r="N52" s="12"/>
      <c r="O52" s="12"/>
      <c r="P52" s="12"/>
      <c r="Q52" s="13"/>
      <c r="R52" s="11"/>
      <c r="S52" s="12"/>
      <c r="T52" s="12"/>
      <c r="U52" s="12"/>
      <c r="V52" s="13"/>
      <c r="W52" s="11">
        <v>1</v>
      </c>
      <c r="X52" s="12"/>
      <c r="Y52" s="12"/>
      <c r="Z52" s="12"/>
      <c r="AA52" s="13"/>
    </row>
    <row r="53" spans="1:27" ht="15.75" thickBot="1" x14ac:dyDescent="0.3">
      <c r="C53" s="8"/>
      <c r="D53" s="9"/>
      <c r="E53" s="9"/>
      <c r="F53" s="9"/>
      <c r="G53" s="10"/>
      <c r="L53" s="7"/>
      <c r="M53" s="6"/>
      <c r="Q53" s="7"/>
      <c r="R53" s="6"/>
      <c r="V53" s="7"/>
      <c r="W53" s="6"/>
      <c r="AA53" s="7"/>
    </row>
    <row r="54" spans="1:27" x14ac:dyDescent="0.25">
      <c r="A54" s="8" t="s">
        <v>89</v>
      </c>
      <c r="B54" s="9"/>
      <c r="C54" s="8"/>
      <c r="D54" s="9"/>
      <c r="E54" s="9"/>
      <c r="F54" s="9"/>
      <c r="G54" s="10"/>
      <c r="H54" s="8"/>
      <c r="I54" s="9"/>
      <c r="J54" s="9"/>
      <c r="K54" s="9"/>
      <c r="L54" s="10"/>
      <c r="M54" s="9"/>
      <c r="N54" s="9"/>
      <c r="O54" s="9"/>
      <c r="P54" s="9"/>
      <c r="Q54" s="10"/>
      <c r="R54" s="9"/>
      <c r="S54" s="9"/>
      <c r="T54" s="9"/>
      <c r="U54" s="9"/>
      <c r="V54" s="10"/>
      <c r="W54" s="9"/>
      <c r="X54" s="9"/>
      <c r="Y54" s="9"/>
      <c r="Z54" s="9"/>
      <c r="AA54" s="10"/>
    </row>
    <row r="55" spans="1:27" outlineLevel="1" x14ac:dyDescent="0.25">
      <c r="A55" s="6" t="s">
        <v>90</v>
      </c>
      <c r="B55">
        <v>-7</v>
      </c>
      <c r="C55" s="6"/>
      <c r="F55">
        <v>1</v>
      </c>
      <c r="G55" s="7"/>
      <c r="H55" s="6"/>
      <c r="J55">
        <v>1</v>
      </c>
      <c r="L55" s="7"/>
      <c r="O55">
        <v>1</v>
      </c>
      <c r="Q55" s="7">
        <v>1</v>
      </c>
      <c r="T55">
        <v>1</v>
      </c>
      <c r="V55" s="7"/>
      <c r="X55">
        <v>1</v>
      </c>
      <c r="Y55">
        <v>1</v>
      </c>
      <c r="AA55" s="7">
        <v>1</v>
      </c>
    </row>
    <row r="56" spans="1:27" outlineLevel="1" x14ac:dyDescent="0.25">
      <c r="A56" s="6" t="s">
        <v>115</v>
      </c>
      <c r="B56">
        <v>5</v>
      </c>
      <c r="C56" s="6"/>
      <c r="G56" s="7"/>
      <c r="H56" s="6"/>
      <c r="L56" s="7"/>
      <c r="M56">
        <v>1</v>
      </c>
      <c r="Q56" s="7"/>
      <c r="R56">
        <v>1</v>
      </c>
      <c r="U56">
        <v>2</v>
      </c>
      <c r="V56" s="7">
        <v>1</v>
      </c>
      <c r="W56">
        <v>1</v>
      </c>
      <c r="Z56">
        <v>1</v>
      </c>
      <c r="AA56" s="7">
        <v>1</v>
      </c>
    </row>
    <row r="57" spans="1:27" ht="15.75" outlineLevel="1" thickBot="1" x14ac:dyDescent="0.3">
      <c r="A57" s="11" t="s">
        <v>91</v>
      </c>
      <c r="B57" s="12">
        <v>7</v>
      </c>
      <c r="C57" s="11"/>
      <c r="D57" s="12"/>
      <c r="E57" s="12"/>
      <c r="F57" s="12"/>
      <c r="G57" s="13"/>
      <c r="H57" s="11"/>
      <c r="I57" s="12"/>
      <c r="J57" s="12"/>
      <c r="K57" s="12"/>
      <c r="L57" s="13"/>
      <c r="M57" s="12">
        <v>1</v>
      </c>
      <c r="N57" s="12"/>
      <c r="O57" s="12"/>
      <c r="P57" s="12"/>
      <c r="Q57" s="13"/>
      <c r="R57" s="12"/>
      <c r="S57" s="12"/>
      <c r="T57" s="12"/>
      <c r="U57" s="12"/>
      <c r="V57" s="13"/>
      <c r="W57" s="12"/>
      <c r="X57" s="12"/>
      <c r="Y57" s="12"/>
      <c r="Z57" s="12"/>
      <c r="AA57" s="13"/>
    </row>
    <row r="58" spans="1:27" ht="15.75" thickBot="1" x14ac:dyDescent="0.3">
      <c r="C58" s="11"/>
      <c r="D58" s="12"/>
      <c r="E58" s="12"/>
      <c r="F58" s="12"/>
      <c r="G58" s="13"/>
      <c r="M58" s="3"/>
      <c r="N58" s="4"/>
      <c r="O58" s="4"/>
      <c r="P58" s="4"/>
      <c r="Q58" s="5"/>
      <c r="R58" s="3"/>
      <c r="S58" s="4"/>
      <c r="T58" s="4"/>
      <c r="U58" s="4"/>
      <c r="V58" s="5"/>
      <c r="W58" s="3"/>
      <c r="X58" s="4"/>
      <c r="Y58" s="4"/>
      <c r="Z58" s="4"/>
      <c r="AA58" s="10"/>
    </row>
    <row r="59" spans="1:27" ht="15.75" thickBot="1" x14ac:dyDescent="0.3">
      <c r="A59" s="3" t="s">
        <v>92</v>
      </c>
      <c r="B59" s="4"/>
      <c r="C59" s="16" cm="1">
        <f t="array" ref="C59">SUM(C11,C19,C27,C35,(C37:C52)*($B37:$B52),((C55*$B55)+(C56*$B56)+(C57*$B57)))</f>
        <v>73</v>
      </c>
      <c r="D59" s="16" cm="1">
        <f t="array" ref="D59">SUM(D11,D19,D27,D35,(D37:D52)*($B37:$B52),((D55*$B55)+(D56*$B56)+(D57*$B57)))</f>
        <v>37</v>
      </c>
      <c r="E59" s="16" cm="1">
        <f t="array" ref="E59">SUM(E11,E19,E27,E35,(E37:E52)*($B37:$B52),((E55*$B55)+(E56*$B56)+(E57*$B57)))</f>
        <v>54</v>
      </c>
      <c r="F59" s="16" cm="1">
        <f t="array" ref="F59">SUM(F11,F19,F27,F35,(F37:F52)*($B37:$B52),((F55*$B55)+(F56*$B56)+(F57*$B57)))</f>
        <v>3</v>
      </c>
      <c r="G59" s="16" cm="1">
        <f t="array" ref="G59">SUM(G11,G19,G27,G35,(G37:G52)*($B37:$B52),((G55*$B55)+(G56*$B56)+(G57*$B57)))</f>
        <v>56</v>
      </c>
      <c r="H59" s="16" cm="1">
        <f t="array" ref="H59">SUM(H11,H19,H27,H35,(H37:H52)*($B37:$B52),((H55*$B55)+(H56*$B56)+(H57*$B57)))</f>
        <v>80</v>
      </c>
      <c r="I59" s="16" cm="1">
        <f t="array" ref="I59">SUM(I11,I19,I27,I35,(I37:I52)*($B37:$B52),((I55*$B55)+(I56*$B56)+(I57*$B57)))</f>
        <v>31</v>
      </c>
      <c r="J59" s="16" cm="1">
        <f t="array" ref="J59">SUM(J11,J19,J27,J35,(J37:J52)*($B37:$B52),((J55*$B55)+(J56*$B56)+(J57*$B57)))</f>
        <v>-9</v>
      </c>
      <c r="K59" s="16" cm="1">
        <f t="array" ref="K59">SUM(K11,K19,K27,K35,(K37:K52)*($B37:$B52),((K55*$B55)+(K56*$B56)+(K57*$B57)))</f>
        <v>51</v>
      </c>
      <c r="L59" s="16" cm="1">
        <f t="array" ref="L59">SUM(L11,L19,L27,L35,(L37:L52)*($B37:$B52),((L55*$B55)+(L56*$B56)+(L57*$B57)))</f>
        <v>24</v>
      </c>
      <c r="M59" s="16" cm="1">
        <f t="array" ref="M59">SUM(M11,M19,M27,M35,(M37:M52)*($B37:$B52),((M55*$B55)+(M56*$B56)+(M57*$B57)))</f>
        <v>131</v>
      </c>
      <c r="N59" s="16" cm="1">
        <f t="array" ref="N59">SUM(N11,N19,N27,N35,(N37:N52)*($B37:$B52),((N55*$B55)+(N56*$B56)+(N57*$B57)))</f>
        <v>90</v>
      </c>
      <c r="O59" s="16" cm="1">
        <f t="array" ref="O59">SUM(O11,O19,O27,O35,(O37:O52)*($B37:$B52),((O55*$B55)+(O56*$B56)+(O57*$B57)))</f>
        <v>-3</v>
      </c>
      <c r="P59" s="16" cm="1">
        <f t="array" ref="P59">SUM(P11,P19,P27,P35,(P37:P52)*($B37:$B52),((P55*$B55)+(P56*$B56)+(P57*$B57)))</f>
        <v>34</v>
      </c>
      <c r="Q59" s="16" cm="1">
        <f t="array" ref="Q59">SUM(Q11,Q19,Q27,Q35,(Q37:Q52)*($B37:$B52),((Q55*$B55)+(Q56*$B56)+(Q57*$B57)))</f>
        <v>3</v>
      </c>
      <c r="R59" s="16" cm="1">
        <f t="array" ref="R59">SUM(R11,R19,R27,R35,(R37:R52)*($B37:$B52),((R55*$B55)+(R56*$B56)+(R57*$B57)))</f>
        <v>69</v>
      </c>
      <c r="S59" s="16" cm="1">
        <f t="array" ref="S59">SUM(S11,S19,S27,S35,(S37:S52)*($B37:$B52),((S55*$B55)+(S56*$B56)+(S57*$B57)))</f>
        <v>64</v>
      </c>
      <c r="T59" s="16" cm="1">
        <f t="array" ref="T59">SUM(T11,T19,T27,T35,(T37:T52)*($B37:$B52),((T55*$B55)+(T56*$B56)+(T57*$B57)))</f>
        <v>5</v>
      </c>
      <c r="U59" s="16" cm="1">
        <f t="array" ref="U59">SUM(U11,U19,U27,U35,(U37:U52)*($B37:$B52),((U55*$B55)+(U56*$B56)+(U57*$B57)))</f>
        <v>46</v>
      </c>
      <c r="V59" s="16" cm="1">
        <f t="array" ref="V59">SUM(V11,V19,V27,V35,(V37:V52)*($B37:$B52),((V55*$B55)+(V56*$B56)+(V57*$B57)))</f>
        <v>43</v>
      </c>
      <c r="W59" s="16" cm="1">
        <f t="array" ref="W59">SUM(W11,W19,W27,W35,(W37:W52)*($B37:$B52),((W55*$B55)+(W56*$B56)+(W57*$B57)))</f>
        <v>35</v>
      </c>
      <c r="X59" s="16" cm="1">
        <f t="array" ref="X59">SUM(X11,X19,X27,X35,(X37:X52)*($B37:$B52),((X55*$B55)+(X56*$B56)+(X57*$B57)))</f>
        <v>-4</v>
      </c>
      <c r="Y59" s="16" cm="1">
        <f t="array" ref="Y59">SUM(Y11,Y19,Y27,Y35,(Y37:Y52)*($B37:$B52),((Y55*$B55)+(Y56*$B56)+(Y57*$B57)))</f>
        <v>-7</v>
      </c>
      <c r="Z59" s="16" cm="1">
        <f t="array" ref="Z59">SUM(Z11,Z19,Z27,Z35,(Z37:Z52)*($B37:$B52),((Z55*$B55)+(Z56*$B56)+(Z57*$B57)))</f>
        <v>45</v>
      </c>
      <c r="AA59" s="16" cm="1">
        <f t="array" ref="AA59">SUM(AA11,AA19,AA27,AA35,(AA37:AA52)*($B37:$B52),((AA55*$B55)+(AA56*$B56)+(AA57*$B57)))</f>
        <v>6</v>
      </c>
    </row>
    <row r="60" spans="1:27" ht="15.75" thickBot="1" x14ac:dyDescent="0.3">
      <c r="C60" s="6"/>
      <c r="G60" s="7"/>
      <c r="H60" s="6"/>
      <c r="L60" s="7"/>
      <c r="M60" s="6"/>
      <c r="Q60" s="7"/>
      <c r="R60" s="6"/>
      <c r="V60" s="7"/>
      <c r="W60" s="6"/>
      <c r="AA60" s="7"/>
    </row>
    <row r="61" spans="1:27" ht="15.75" thickBot="1" x14ac:dyDescent="0.3">
      <c r="A61" s="3" t="s">
        <v>93</v>
      </c>
      <c r="B61" s="4"/>
      <c r="C61" s="17">
        <f>SUM(C59:G59)</f>
        <v>223</v>
      </c>
      <c r="D61" s="18"/>
      <c r="E61" s="18"/>
      <c r="F61" s="18"/>
      <c r="G61" s="19"/>
      <c r="H61" s="17">
        <f>SUM(H59:L59)</f>
        <v>177</v>
      </c>
      <c r="I61" s="18"/>
      <c r="J61" s="18"/>
      <c r="K61" s="18"/>
      <c r="L61" s="19"/>
      <c r="M61" s="17">
        <f>SUM(M59:Q59)</f>
        <v>255</v>
      </c>
      <c r="N61" s="18"/>
      <c r="O61" s="18"/>
      <c r="P61" s="18"/>
      <c r="Q61" s="19"/>
      <c r="R61" s="17">
        <f>SUM(R59:V59)</f>
        <v>227</v>
      </c>
      <c r="S61" s="18"/>
      <c r="T61" s="18"/>
      <c r="U61" s="18"/>
      <c r="V61" s="19"/>
      <c r="W61" s="17">
        <f>SUM(W59:AA59)</f>
        <v>75</v>
      </c>
      <c r="X61" s="18"/>
      <c r="Y61" s="18"/>
      <c r="Z61" s="18"/>
      <c r="AA61" s="19"/>
    </row>
  </sheetData>
  <mergeCells count="5">
    <mergeCell ref="C1:G1"/>
    <mergeCell ref="H1:L1"/>
    <mergeCell ref="M1:Q1"/>
    <mergeCell ref="R1:V1"/>
    <mergeCell ref="W1:AA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Scoreboard</vt:lpstr>
      <vt:lpstr>Eliminator</vt:lpstr>
      <vt:lpstr>Entry</vt:lpstr>
      <vt:lpstr>Template</vt:lpstr>
      <vt:lpstr>The American Express</vt:lpstr>
      <vt:lpstr>The Sony Open</vt:lpstr>
      <vt:lpstr>The Sentry</vt:lpstr>
      <vt:lpstr>Hero World Challenge</vt:lpstr>
      <vt:lpstr>RSM  Classic</vt:lpstr>
      <vt:lpstr>Butterfield Bermuda</vt:lpstr>
      <vt:lpstr>World Wide Technology</vt:lpstr>
      <vt:lpstr>Zozo Championship</vt:lpstr>
      <vt:lpstr>Shriners Childrens Open</vt:lpstr>
      <vt:lpstr>Sanderson Farms Championship</vt:lpstr>
      <vt:lpstr>Fortinet Championship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 Sowinski</dc:creator>
  <cp:keywords/>
  <dc:description/>
  <cp:lastModifiedBy>Nico Sowinski</cp:lastModifiedBy>
  <cp:revision/>
  <dcterms:created xsi:type="dcterms:W3CDTF">2022-07-11T14:02:20Z</dcterms:created>
  <dcterms:modified xsi:type="dcterms:W3CDTF">2024-01-28T18:41:14Z</dcterms:modified>
  <cp:category/>
  <cp:contentStatus/>
</cp:coreProperties>
</file>